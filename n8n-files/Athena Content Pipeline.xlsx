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Staging" sheetId="2" r:id="rId6"/>
    <sheet state="visible" name="Review" sheetId="3" r:id="rId7"/>
    <sheet state="visible" name="pricing analysis" sheetId="4" r:id="rId8"/>
  </sheets>
  <definedNames/>
  <calcPr/>
</workbook>
</file>

<file path=xl/sharedStrings.xml><?xml version="1.0" encoding="utf-8"?>
<sst xmlns="http://schemas.openxmlformats.org/spreadsheetml/2006/main" count="5232" uniqueCount="1506">
  <si>
    <t>category</t>
  </si>
  <si>
    <t>style_guide</t>
  </si>
  <si>
    <t>beagle_ref_url</t>
  </si>
  <si>
    <t>style_ref_url</t>
  </si>
  <si>
    <t>post_caption</t>
  </si>
  <si>
    <t>SAT_MYTH</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</si>
  <si>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</si>
  <si>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https://res.cloudinary.com/a1irmvxv/image/upload/f_auto,q_auto/hf_20260630_002349_744b79a7-84f6-4760-9bb8-95a9d0e040e3_1_jnwc44</t>
  </si>
  <si>
    <t>Busting another SAT myth before it costs your score 🐶📛 Swipe to see why. Link in bio. #SATmyths #SATprep #StudySmarter || Everyone believes this. Everyone's wrong. Swipe for the truth 👉 #SATtips #TestPrep #StudentLife || Your teen's heard this myth a hundred times. Time to unlearn it. Link in bio. #SATprep #CollegePrep #ParentsOfTeens || Myth: busted. Score: protected. Swipe through 🐶 #SATmyths #StudyTips #TestDay || Stop studying based on rumors. Here's what's actually true. Link in bio. #SATprep #StudySmarter #CollegeBound</t>
  </si>
  <si>
    <t>COMIC</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</si>
  <si>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t>
  </si>
  <si>
    <t>https://res.cloudinary.com/a1irmvxv/image/upload/f_auto,q_auto/hf_20260630_003148_8cdf9166-5c23-4c3d-8c7f-cf7f872a39ce_xgls2u</t>
  </si>
  <si>
    <t>Beagle vs. classic study traps — Athena to the rescue! 🐶📚 Swipe the carousel for the mishaps (and the fixes). Link in bio. #StudyBuddy #StudentLife #BeagleComics || Relatable? Maybe too relatable. Swipe through 😅 Link in bio. #StudyStruggles #BeagleComics #SATprep || Every student's inner monologue, starring one very tired Beagle 🐶 #StudyBuddy #BeagleComics #StudentLife || This is basically your study session. Swipe to confirm. Link in bio. #StudyStruggles #SATprep #BeagleComics || The Beagle gets it. Swipe through for the full story 📖 #BeagleComics #StudentLife #StudySmarter</t>
  </si>
  <si>
    <t>NOTES_APP</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</si>
  <si>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t>
  </si>
  <si>
    <t>https://res.cloudinary.com/a1irmvxv/image/upload/f_auto,q_auto/ChatGPT_Image_Jun_24_2026_02_26_06_PM_x1isth</t>
  </si>
  <si>
    <t>Dear parents — read this one 📝 Swipe for the full note. Link in bio. #ParentsOfTeens #SATprep #StudyTips || This note might hit a little too close to home. Swipe through. #ParentingTeens #SATprep #StudentLife || Wrote this at 11pm and meant every word. Swipe to read. Link in bio. #ParentsOfTeens #CollegePrep #StudyTips || If your teen studies hard but the score won't move, read this 👇 #SATprep #ParentsOfTeens #StudentLife || A quick note for parents who feel stuck too. Swipe through. Link in bio. #ParentingTeens #SATprep #CollegeBound</t>
  </si>
  <si>
    <t>BRAIN_TEASER</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</si>
  <si>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t>
  </si>
  <si>
    <t>https://res.cloudinary.com/a1irmvxv/image/upload/f_auto,q_auto/ChatGPT_Image_Jun_24_2026_02_27_36_PM_avlrpn</t>
  </si>
  <si>
    <t>Only a few can crack this one 🧠 Comment your answer below! #BrainTeaser #SATprep #PuzzleTime || Think you're fast? Prove it. Swipe for the trap 👀 #BrainChallenge #SATmath #StudentLife || This one gets almost everyone. Will it get you? Link in bio for more. #BrainTeaser #TestPrep #ThinkFast || SAT logic, disguised as a puzzle. Solve it before you scroll 🐶 #SATprep #BrainTeaser #StudySmarter || Betcha can't solve this in 20 seconds ⏱️ Comment your answer! #PuzzleTime #SATprep #BrainChallenge</t>
  </si>
  <si>
    <t>BEAGLE_EXPLAINS</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</si>
  <si>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t>
  </si>
  <si>
    <t>https://res.cloudinary.com/a1irmvxv/image/upload/f_auto,q_auto/ChatGPT_Image_Jul_13_2026_02_32_35_PM_wx14ep</t>
  </si>
  <si>
    <t>Why your SAT strategy might be working against you 🐶 Swipe through. Link in bio. #SATtips #StudySmarter #TestPrep || The Beagle figured this out the hard way. Swipe so you don't have to. #SATprep #StudyTips #BeagleExplains || This one small shift changes everything. Swipe to see how 🐶 #SATprep #StudySmarter #CollegePrep || Ever wonder why this happens on test day? Swipe for the answer. Link in bio. #SATtips #TestPrep #StudentLife || The Beagle breaks it down so it finally clicks 💡 Swipe through. #SATprep #StudySmarter #BeagleExplains</t>
  </si>
  <si>
    <t xml:space="preserve">idea_id </t>
  </si>
  <si>
    <t>concept</t>
  </si>
  <si>
    <t>final_prompt</t>
  </si>
  <si>
    <t>ai_filter_reason</t>
  </si>
  <si>
    <t>your_approval</t>
  </si>
  <si>
    <t>status</t>
  </si>
  <si>
    <t>timestamp</t>
  </si>
  <si>
    <t>source</t>
  </si>
  <si>
    <t>resolved_prompt</t>
  </si>
  <si>
    <t>kie_style_url</t>
  </si>
  <si>
    <t>kie_body</t>
  </si>
  <si>
    <t>taskId</t>
  </si>
  <si>
    <t>poll_count</t>
  </si>
  <si>
    <t>next_action</t>
  </si>
  <si>
    <t>result_image_url</t>
  </si>
  <si>
    <t>poll_status</t>
  </si>
  <si>
    <t>drive_file_id</t>
  </si>
  <si>
    <t>drive_link</t>
  </si>
  <si>
    <t>image_formula</t>
  </si>
  <si>
    <t>final_status</t>
  </si>
  <si>
    <t>full_prompt</t>
  </si>
  <si>
    <t>The myth that taking the SAT more times guarantees a higher score — when without targeted practice, repetition just reinforces the same mistakes.</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</si>
  <si>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'TAKE IT MORE TIMES AND YOUR SCORE WILL GO UP'. Large hand-drawn orange 'X' crossing out the statement. The X is the only intentionally rough/imperfect element.
### Main Illustration
A teenage girl with long dark hair in a ponytail, wearing a navy hoodie, sits at a school desk. She is taking a written exam. Around her on the floor are three identical crumpled test papers, all marked with the same low score circled in red. She holds a fourth identical exam, pencil in hand, with the exact same frustrated, tired expression — eyes slightly glazed, posture slumped. The visual metaphor: she keeps running the same race with the same shoes and wondering why her time never improves. The repeated failed tests on the floor make it immediately obvious that repetition alone is not the answer. Cream off-white background. Dark navy blue desk and text elements. Warm beige paper tones. Orange limited strictly to the MYTH tag and the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</si>
  <si>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Visually concrete and immediately legible — repeated failed tests on the floor tells the story without words. Myth is genuinely pervasive and will resonate with parents who equate retakes with progress. Fresh angle on a real trap families fall into.</t>
  </si>
  <si>
    <t>done</t>
  </si>
  <si>
    <t>2026-07-14T13:30:10.493-07:00</t>
  </si>
  <si>
    <t>The myth that buying the thickest prep book means your kid is prepared — when 800 pages of unread material is just expensive shelf decoration.</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</si>
  <si>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'A BIGGER PREP BOOK MEANS BETTER PREP'. Large hand-drawn orange 'X' crossing out the statement. The X is the only intentionally rough/imperfect element.
### Main Illustration
A teenage girl with long dark hair in a ponytail, wearing a navy hoodie, sits cross-legged on her bedroom floor. Beside her is a towering, comically oversized SAT prep book — nearly as tall as she is when stacked, spine cracked open to page 1. The book is thick, imposing, and clearly intimidating. The girl stares up at it with wide, overwhelmed, slightly defeated eyes, pencil hanging limply in her hand. A thin layer of dust sits visibly on the top edge of the book's pages, suggesting it has barely been touched. Her backpack and a half-eaten snack sit nearby — she arrived with good intentions. The metaphor is immediate: the book itself has become the obstacle, not the solution. Cream off-white background. Dark navy blue for the book cover lettering and furniture outlines. Warm beige for the book pages and bedroom floor tones. Orange strictly limited to the MYTH tag and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</si>
  <si>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The oversized dusty prep book is a single, instantly readable visual gag with real emotional truth. Parents who bought the $40 Kaplan book will feel seen. Dust detail is a smart storytelling touch. Avoids cliché by making the 'solution' itself the problem.</t>
  </si>
  <si>
    <t>pending_review</t>
  </si>
  <si>
    <t>2026-07-14T13:30:10.496-07:00</t>
  </si>
  <si>
    <t>The myth that smart kids don't need SAT prep — when the SAT tests a specific kind of thinking that even straight-A students have never been taught.</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</si>
  <si>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'IF SHE'S SMART, SHE DOESN'T NEED PREP'. Large hand-drawn orange 'X' crossing out the statement. The X is the only intentionally rough/imperfect element.
### Main Illustration
A teenage girl with long dark hair in a ponytail, wearing a navy hoodie, stands confidently in front of a school locker covered in academic achievement ribbons, honor roll certificates, and straight-A report cards — she is clearly an excellent student. She holds an open SAT practice booklet in her hands and stares at it with a genuinely puzzled, unsettled expression — eyebrows furrowed, head tilted slightly, as if the page is written in a language she has never encountered. Her other hand holds a pencil, frozen mid-air, unsure where to begin. The contrast is the entire story: a wall of proof she is brilliant, and a single page that has stopped her cold. The metaphor communicates that the SAT is its own game, with its own rules — and being smart at school does not automatically mean being prepared for this. Cream off-white background. Dark navy blue for locker, certificates, and text accents. Warm beige for the paper tones of the certificates and booklet pages. Orange strictly limited to the MYTH tag and the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</si>
  <si>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Honor roll wall vs. frozen pencil is a high-contrast visual that lands hard for parents of high-achievers — arguably the most emotionally charged segment of the SAT prep market. The insight that the SAT is a distinct skill set is genuinely underappreciated and not a tired talking point.</t>
  </si>
  <si>
    <t>2026-07-14T13:30:10.499-07:00</t>
  </si>
  <si>
    <t>The Beagle discovers why eliminating wrong answers is more powerful than searching for the right one.</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</si>
  <si>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crossing out wrong answers works better than finding the right one." The Beagle sits upright at a desk in a medium shot, staring at an SAT practice test with a mildly overwhelmed expression, pencil in paw. Panel 2: Close-up on the Beagle's face, head tilted, brow furrowed. Text reads: "I stared at all 4 answers..." A small hand-drawn question mark floats above the Beagle's head in purple. Panel 3: Side profile shot. The Beagle is hunched over the test, eyes darting between choices. Text reads: "They all kind of... looked right?" Purple doodle of four small arrows pointing in different directions. Panel 4: Medium shot, overhead desk view. The Beagle holds the pencil up mid-air, frozen. Text reads: "So I just... guessed." A small purple X doodle near the answer bubble. Panel 5: Eye-level shot. The Beagle looks directly at the viewer with a soft, curious expression. Text reads: "But here's the thing about SAT questions..." A purple underline beneath "SAT questions." Panel 6: Over-the-shoulder shot showing the Beagle crossing out two answer choices with confident pencil strokes. Text reads: "Two answers are always obviously wrong." Purple X marks drawn through the eliminated choices, hand-drawn style. Panel 7: Medium shot, the Beagle sitting back with a small proud smile, pencil resting on the desk. Text reads: "Now I only have to decide between TWO." Purple emphasis and underline on "TWO." Panel 8 (Aha moment): Close-up on the Beagle's face, eyes wide and bright, a tiny smile forming. Text reads: "Ohhhh... that's the whole game." A hand-drawn purple light bulb glows gently above the Beagle's head. Warm soft studio lighting throughout. Consistent cream and white palette. Realistic painterly Beagle illustration across all panels.</t>
  </si>
  <si>
    <t>Visually concrete panel-by-panel story, elimination strategy is a genuine insight not a cliche, Beagle-as-student avoids AI branding, emotionally relatable arc parents and students would share</t>
  </si>
  <si>
    <t>2026-07-14T13:48:20.141-07:00</t>
  </si>
  <si>
    <t>The Beagle learns why re-reading the question — not the passage — is the secret move in SAT Reading.</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</si>
  <si>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re-reading the question — not the passage — is the secret move in SAT Reading." The Beagle sits at a desk in a medium shot, staring at a dense SAT reading passage with a tired, glazed expression. A desk lamp casts warm light across the page. Panel 2: Close-up on the Beagle's drooping eyes scanning lines of text on a practice test. Text reads: "I read the whole passage." A small hand-drawn purple clock doodle in the corner suggesting time passing. Panel 3: Side profile shot. The Beagle flips back through pages, paw tracing text frantically. Text reads: "Then re-read it trying to find the answer." Purple squiggly lines under "re-read" suggesting stress. Panel 4: Overhead desk view. The Beagle is slumped forward, chin resting on the desk, eyes barely open. Text reads: "I ran out of time. Again." A small hand-drawn purple hourglass doodle near the corner. Panel 5: Eye-level shot. The Beagle sits up, looking curiously at the viewer, one ear slightly raised. Text reads: "Here's what no one tells you..." Purple ellipsis dots trail off with a subtle hand-drawn doodle. Panel 6: Medium shot, the Beagle holding a pencil and pointing directly at the question text on the page — not the passage. Text reads: "The question tells you exactly where to look." Purple arrow drawn pointing down toward the question with emphasis. Panel 7: Over-the-shoulder shot showing the Beagle circling a specific line in the passage confidently, with a small satisfied expression. Text reads: "Read the question first. Then go find it." Purple underline beneath "Read the question first." Panel 8 (Aha moment): Close-up on the Beagle's face, bright wide eyes, a warm relieved smile. Text reads: "Ohhhh... I was reading everything except the right thing." A hand-drawn purple light bulb and small star burst appear beside the Beagle's head. Warm soft studio lighting throughout. Consistent cream and white palette. Realistic painterly Beagle illustration across all panels.</t>
  </si>
  <si>
    <t>Strong visual narrative with clear panel-level actions, question-first reading strategy is practical and underdiscussed, tired Beagle panel is emotionally resonant for overwhelmed students, fresh enough framing to avoid cliche</t>
  </si>
  <si>
    <t>2026-07-14T13:48:20.145-07:00</t>
  </si>
  <si>
    <t>A number sequence puzzle where each term follows a hidden double-operation rule, tricking solvers who only look for addition or multiplication alone.</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</si>
  <si>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"Find the pattern."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displays the number sequence: 2, 5, 11, 23, 47, ? — with each number in large bold black print, separated by commas, followed by a dashed line and one large orange question mark. No explanation or labels. The sequence follows the hidden rule of multiplying by 2 then adding 1 each time, which is not stated anywhere on the poster. The numbers are the only content inside the white rounded rectangle.</t>
  </si>
  <si>
    <t>Clean number sequence renders perfectly as a single image; feels like a clever teacher trick not an AI gimmick; genuinely engaging for students and parents; sequence puzzles are common but the double-operation misdirect keeps it fresh.</t>
  </si>
  <si>
    <t>2026-07-14T17:09:12.901-07:00</t>
  </si>
  <si>
    <t>A classic SAT word-problem trap where a percentage increase followed by the same percentage decrease does not return to the original number, fooling students who assume symmetry.</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</si>
  <si>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displays this word problem in bold black hand-drawn text: 'A price goes UP 50%. Then it goes DOWN 50%. Is the final price: higher, lower, or the same as the original?' Below the question is a dashed line and one large orange question mark. The four answer choices are written in bold: A) Higher  B) Lower  C) Same  D) Impossible to tell — arranged in a 2x2 grid inside the white rectangle. The trap is that most people say 'same' but the correct answer is B) Lower, since 50% down is taken from a larger number. No explanation is shown on the poster.</t>
  </si>
  <si>
    <t>Percentage trap is highly visual and SAT-relevant; multiple choice format is explicitly allowed per prompt rules and mirrors real test structure; resonates with parents who've heard about tricky SAT math; not a tired cliché because the counterintuitive result creates genuine surprise.</t>
  </si>
  <si>
    <t>2026-07-14T17:09:12.904-07:00</t>
  </si>
  <si>
    <t>A visual balance-scale logic puzzle where three equations involving fruit icons let you solve for the weight of a single mystery fruit, mimicking SAT systems-of-equations thinking.</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</si>
  <si>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shows three hand-drawn equation rows using simple fruit doodles and bold black numbers, styled like a math worksheet. Row 1: one apple + one apple + one apple = 30. Row 2: one apple + one banana + one banana = 18. Row 3: one banana + one grape + one grape = 14. Below a thick dashed line: one grape = large orange question mark. Each fruit is a small cute hand-drawn icon with thick black outlines — a red apple, a yellow banana, a purple grape cluster. The layout is clean and centered inside the white rectangle. No explanation. Answer: apple=10, banana=4, grape=5.</t>
  </si>
  <si>
    <t>Fruit balance puzzles are visually concrete and immediately scannable; maps cleanly to SAT systems-of-equations without feeling academic; warm doodle icons align well with the hand-drawn Athena brand tone; popular format but the three-variable chain keeps it from feeling stale.</t>
  </si>
  <si>
    <t>2026-07-14T17:09:12.907-07:00</t>
  </si>
  <si>
    <t>notesid_001</t>
  </si>
  <si>
    <t>A parent realizes their kid has been pretending to understand the material for months rather than admitting they're lost.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</si>
  <si>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Your kid has been saying "I got it"
for a long time now.
Not because they got it.
Because saying "I don't get it"
felt worse.
There's a difference between
a kid who is struggling
and a kid who has learned
to hide the struggle.
By the time the score comes back,
the hiding has been going on for months.
[PALE YELLOW HIGHLIGHT ON:] They weren't being lazy. They were being brave in the wrong direction.
That's the part that's hard to sit with.
— Athena</t>
  </si>
  <si>
    <t>Emotionally precise, visually executable as a Notes screenshot, names a real parental blind spot without cliche. 'Brave in the wrong direction' is a shareable line.</t>
  </si>
  <si>
    <t>2026-07-14T18:03:19.435-07:00</t>
  </si>
  <si>
    <t>new</t>
  </si>
  <si>
    <t>https://tempfile.redpandaai.co/kieai/11402406/athena-refs/style_ref.jpg</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</si>
  <si>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post.\n\nThe note reads:\n\nDear parents,\n\nYour kid has been saying \"I got it\"\nfor a long time now.\n\nNot because they got it.\n\nBecause saying \"I don't get it\"\nfelt worse.\n\nThere's a difference between\na kid who is struggling\nand a kid who has learned\nto hide the struggle.\n\nBy the time the score comes back,\nthe hiding has been going on for months.\n\n[PALE YELLOW HIGHLIGHT ON:] They weren't being lazy. They were being brave in the wrong direction.\n\nThat's the part that's hard to sit with.\n\n— Athena\n\nReference the provided style image to maintain visual consistency in palette, illustration style, and layout.","input_urls":["https://tempfile.redpandaai.co/kieai/11402406/athena-refs/style_ref.jpg"],"aspect_ratio":"4:5"}}</t>
  </si>
  <si>
    <t>7c05e91f112096f0de6732925342affa</t>
  </si>
  <si>
    <t>continue</t>
  </si>
  <si>
    <t>https://tempfile.aiquickdraw.com/images/chatgpt/file_0000000073d4720cada87dd2ab4ea2be.png</t>
  </si>
  <si>
    <t>success</t>
  </si>
  <si>
    <t>1986uKB8ne4rTP2ET6PU4GClKqpOv7qZ4</t>
  </si>
  <si>
    <t>https://drive.google.com/uc?id=1986uKB8ne4rTP2ET6PU4GClKqpOv7qZ4</t>
  </si>
  <si>
    <t>Pending Review</t>
  </si>
  <si>
    <t>notesid_002</t>
  </si>
  <si>
    <t>A parent wonders if hiring a tutor means they've failed their kid, when really waiting was the harder cost.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</si>
  <si>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A lot of parents wait.
They think: maybe next month.
Maybe after finals.
Maybe if I just explain it to them myself.
And then six months pass.
The waiting isn't free.
It just feels free
because the cost comes later.
[PALE YELLOW HIGHLIGHT ON:] Getting help isn't giving up on your kid. Waiting until it's urgent is.
You probably already know which one you've been doing.
— Athena</t>
  </si>
  <si>
    <t>Addresses a genuine guilt parents carry about getting help. The reframe is sharp and non-judgmental. Highlighted line lands hard without overselling.</t>
  </si>
  <si>
    <t>2026-07-14T18:03:19.440-07:00</t>
  </si>
  <si>
    <t>notesid_003</t>
  </si>
  <si>
    <t>A parent confuses their kid being quiet about school with their kid being okay, and the SAT score is the first honest signal they get.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</si>
  <si>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They come home.
They say "fine."
They go to their room.
And you think: okay, fine means fine.
But sometimes fine means
I don't know how to tell you
that I'm not keeping up.
The SAT score lands.
And suddenly you're doing math
you didn't know you'd have to do.
[PALE YELLOW HIGHLIGHT ON:] Quiet isn't the same as okay. It never was.
The score just made it visible.
— Athena</t>
  </si>
  <si>
    <t>Fine means fine' is universally lived. SAT score as the first honest signal is a fresh framing of a real moment. Quiet vs. okay distinction earns its highlight.</t>
  </si>
  <si>
    <t>2026-07-14T18:03:19.444-07:00</t>
  </si>
  <si>
    <t>r</t>
  </si>
  <si>
    <t>beagle_explains_001</t>
  </si>
  <si>
    <t>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t>
  </si>
  <si>
    <t>Visually concrete panel-by-panel progression, whiteboard and notebook props ground it, insight feels earned not cliche, speaks directly to the 'pattern recognition' promise parents want</t>
  </si>
  <si>
    <t>2026-07-15T10:53:02.102-07:00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</si>
  <si>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secret.'\n\nReference the provided style image to maintain visual consistency in palette, illustration style, and layout.","input_urls":["https://tempfile.redpandaai.co/kieai/11402406/athena-refs/style_ref.jpg"],"aspect_ratio":"4:5"}}</t>
  </si>
  <si>
    <t>49405a1d546244d7a345233d6d3854b7</t>
  </si>
  <si>
    <t>https://tempfile.aiquickdraw.com/images/chatgpt/file_0000000003c471f5a5d444f69b7db6fd.png</t>
  </si>
  <si>
    <t>1axzQogpet0OO1ucMNmyY927qLN5VCkrA</t>
  </si>
  <si>
    <t>https://drive.google.com/uc?id=1axzQogpet0OO1ucMNmyY927qLN5VCkrA</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</si>
  <si>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
Reference the provided style image to maintain visual consistency in palette, illustration style, and layout.</t>
  </si>
  <si>
    <t>beagle_explains_002</t>
  </si>
  <si>
    <t>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t>
  </si>
  <si>
    <t>Strong visual contrast between cozy reading and SAT dread, 'you are not reading, you are hunting' reframe is fresh and genuinely useful, relatable to high-achieving readers who still struggle</t>
  </si>
  <si>
    <t>2026-07-15T10:53:02.105-07:00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</si>
  <si>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everything.'\n\nReference the provided style image to maintain visual consistency in palette, illustration style, and layout.","input_urls":["https://tempfile.redpandaai.co/kieai/11402406/athena-refs/style_ref.jpg"],"aspect_ratio":"4:5"}}</t>
  </si>
  <si>
    <t>30fd79311163b929c0346505af1e38b1</t>
  </si>
  <si>
    <t>https://tempfile.aiquickdraw.com/images/chatgpt/file_000000002168722fb2d34681fd0ceb6e.png</t>
  </si>
  <si>
    <t>1WC_fkf5LoF-1-3s6sPB48LVswkwD1OEl</t>
  </si>
  <si>
    <t>https://drive.google.com/uc?id=1WC_fkf5LoF-1-3s6sPB48LVswkwD1OEl</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</si>
  <si>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
Reference the provided style image to maintain visual consistency in palette, illustration style, and layout.</t>
  </si>
  <si>
    <t>beagle_explains_003</t>
  </si>
  <si>
    <t>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t>
  </si>
  <si>
    <t>Panic-blank experience is universally felt but rarely named this clearly, visual of frozen pencil mid-air is immediately renderable, emotional arc from freeze to recovery is satisfying</t>
  </si>
  <si>
    <t>2026-07-15T10:53:02.107-07:00</t>
  </si>
  <si>
    <t>https://drive.google.com/uc?id=1RoYL0-FdR0okT1CV-_ZE3797vGqHqETV"</t>
  </si>
  <si>
    <t>beagle_explains_004</t>
  </si>
  <si>
    <t>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t>
  </si>
  <si>
    <t>Counterintuitive premise earns attention, chaotic sticky-note wall versus clean single-item desk is a strong visual payoff, speaks directly to the over-studying parent narrative</t>
  </si>
  <si>
    <t>2026-07-15T10:53:02.110-07:00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</si>
  <si>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move.'\n\nReference the provided style image to maintain visual consistency in palette, illustration style, and layout.","input_urls":["https://tempfile.redpandaai.co/kieai/11402406/athena-refs/style_ref.jpg"],"aspect_ratio":"4:5"}}</t>
  </si>
  <si>
    <t>d6d6da7a9d4d152f28c3bf5d09987e27</t>
  </si>
  <si>
    <t>https://tempfile.aiquickdraw.com/images/chatgpt/file_0000000068ac71f58ee5372029af1a05.png</t>
  </si>
  <si>
    <t>1J2kf8Cb7CEpYXJoH3BS_7VnM5zVRPdq_</t>
  </si>
  <si>
    <t>https://drive.google.com/uc?id=1J2kf8Cb7CEpYXJoH3BS_7VnM5zVRPdq_</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</si>
  <si>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
Reference the provided style image to maintain visual consistency in palette, illustration style, and layout.</t>
  </si>
  <si>
    <t>BE_001</t>
  </si>
  <si>
    <t>Title panel: 'Why Does the SAT Have a Time Limit at All?'
Panel 1 — Beagle sitting upright at a desk, pencil in paw, staring at a ticking clock on the wall. Expression: mild dread. Text: 'The clock is the whole point.'
Panel 2 — Close-up of Beagle's face, one eyebrow raised, head slightly tilted. Text: 'But... why rush learning?'
Panel 3 — Side profile of Beagle reading a thick book labeled 'SAT.' A small thought bubble shows a stopwatch. Text: 'The SAT is not testing what you know.'
Panel 4 — Medium shot of Beagle looking directly at viewer, paw on chest. Text: 'It is testing how fast you can think clearly.'
Panel 5 — Over-the-shoulder shot of Beagle writing on a practice test. Sticky notes everywhere. Text: 'Speed is a skill. It can be trained.'
Panel 6 — Beagle slumped on desk, exhausted, timer showing 00:00. Text: 'At first, everyone runs out of time.'
Panel 7 — Beagle sitting up with a small proud smile, pencil tucked behind ear. Timer now shows time remaining. Text: 'Then one day... you finish early.'
Final panel — Beagle grinning wide, looking at viewer, paw giving a thumbs up. A hand-drawn light bulb doodle in purple. Text: 'Ohhh. The clock was never my enemy. It was just untrained.'</t>
  </si>
  <si>
    <t>Visually concrete arc from dread to mastery; clock-as-enemy reframe is relatable and fresh enough; strong emotional payoff for stuck students</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</si>
  <si>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SAT Have a Time Limit at All?'\n\nPanel 1 — Beagle sitting upright at a desk, pencil in paw, staring at a ticking clock on the wall. Expression: mild dread. Text: 'The clock is the whole point.'\n\nPanel 2 — Close-up of Beagle's face, one eyebrow raised, head slightly tilted. Text: 'But... why rush learning?'\n\nPanel 3 — Side profile of Beagle reading a thick book labeled 'SAT.' A small thought bubble shows a stopwatch. Text: 'The SAT is not testing what you know.'\n\nPanel 4 — Medium shot of Beagle looking directly at viewer, paw on chest. Text: 'It is testing how fast you can think clearly.'\n\nPanel 5 — Over-the-shoulder shot of Beagle writing on a practice test. Sticky notes everywhere. Text: 'Speed is a skill. It can be trained.'\n\nPanel 6 — Beagle slumped on desk, exhausted, timer showing 00:00. Text: 'At first, everyone runs out of time.'\n\nPanel 7 — Beagle sitting up with a small proud smile, pencil tucked behind ear. Timer now shows time remaining. Text: 'Then one day... you finish early.'\n\nFinal panel — Beagle grinning wide, looking at viewer, paw giving a thumbs up. A hand-drawn light bulb doodle in purple. Text: 'Ohhh. The clock was never my enemy. It was just untrained.'\n\nReference the provided style image to maintain visual consistency in palette, illustration style, and layout.","input_urls":["https://tempfile.redpandaai.co/kieai/11402406/athena-refs/style_ref.jpg"],"aspect_ratio":"4:5"}}</t>
  </si>
  <si>
    <t>7fb76efb07b8eef9fed44b1d13ba409e</t>
  </si>
  <si>
    <t>https://tempfile.aiquickdraw.com/images/chatgpt/file_00000000cf5071f5b9ca1fa8b7fb2ce1.png</t>
  </si>
  <si>
    <t>1Y6NRtGDmtQIUpTCDgqU5pd78VkCFNVZ0</t>
  </si>
  <si>
    <t>https://drive.google.com/uc?id=1Y6NRtGDmtQIUpTCDgqU5pd78VkCFNVZ0</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</si>
  <si>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SAT Have a Time Limit at All?'
Panel 1 — Beagle sitting upright at a desk, pencil in paw, staring at a ticking clock on the wall. Expression: mild dread. Text: 'The clock is the whole point.'
Panel 2 — Close-up of Beagle's face, one eyebrow raised, head slightly tilted. Text: 'But... why rush learning?'
Panel 3 — Side profile of Beagle reading a thick book labeled 'SAT.' A small thought bubble shows a stopwatch. Text: 'The SAT is not testing what you know.'
Panel 4 — Medium shot of Beagle looking directly at viewer, paw on chest. Text: 'It is testing how fast you can think clearly.'
Panel 5 — Over-the-shoulder shot of Beagle writing on a practice test. Sticky notes everywhere. Text: 'Speed is a skill. It can be trained.'
Panel 6 — Beagle slumped on desk, exhausted, timer showing 00:00. Text: 'At first, everyone runs out of time.'
Panel 7 — Beagle sitting up with a small proud smile, pencil tucked behind ear. Timer now shows time remaining. Text: 'Then one day... you finish early.'
Final panel — Beagle grinning wide, looking at viewer, paw giving a thumbs up. A hand-drawn light bulb doodle in purple. Text: 'Ohhh. The clock was never my enemy. It was just untrained.'
Reference the provided style image to maintain visual consistency in palette, illustration style, and layout.</t>
  </si>
  <si>
    <t>BE_002</t>
  </si>
  <si>
    <t>Title panel: 'Why Do SAT Reading Passages Feel Like a Foreign Language?'
Panel 1 — Beagle hunched over a passage, eyes crossed, completely lost. A dense block of text visible on the page. Text: 'Nothing makes sense. Nothing.'
Panel 2 — Close-up of Beagle's paw tracing a line of text, brow furrowed. Text: 'The words are English. But... what?'
Panel 3 — Medium shot, Beagle looking up at viewer with a serious expression. Text: 'Here is the secret they do not tell you.'
Panel 4 — Beagle at a whiteboard with a purple-underlined phrase: 'You are not supposed to understand everything.' Thoughtful expression. Text: 'You only need to find the answer.'
Panel 5 — Side profile of Beagle with highlighter, marking one specific sentence in the passage. Text: 'The answer is always in the passage.'
Panel 6 — Over-the-shoulder shot, Beagle circling a line with a pencil. A small purple arrow points to it. Text: 'Your job: locate, not memorize.'
Panel 7 — Beagle sitting back with a relaxed smile, pen resting on notebook. Text: 'Once you stop trying to understand everything...'
Final panel — Beagle leaning toward viewer, eyes bright, one paw pointing at the practice test. Purple doodle of a magnifying glass. Text: 'Ohhhh. Reading passages are just a scavenger hunt.'</t>
  </si>
  <si>
    <t>Scavenger hunt reframe is genuinely useful and visualizable; 'locate not memorize' is a real insight parents and students haven't heard phrased this way</t>
  </si>
  <si>
    <t>2026-07-15T13:11:24.326-07:00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</si>
  <si>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SAT Reading Passages Feel Like a Foreign Language?'\n\nPanel 1 — Beagle hunched over a passage, eyes crossed, completely lost. A dense block of text visible on the page. Text: 'Nothing makes sense. Nothing.'\n\nPanel 2 — Close-up of Beagle's paw tracing a line of text, brow furrowed. Text: 'The words are English. But... what?'\n\nPanel 3 — Medium shot, Beagle looking up at viewer with a serious expression. Text: 'Here is the secret they do not tell you.'\n\nPanel 4 — Beagle at a whiteboard with a purple-underlined phrase: 'You are not supposed to understand everything.' Thoughtful expression. Text: 'You only need to find the answer.'\n\nPanel 5 — Side profile of Beagle with highlighter, marking one specific sentence in the passage. Text: 'The answer is always in the passage.'\n\nPanel 6 — Over-the-shoulder shot, Beagle circling a line with a pencil. A small purple arrow points to it. Text: 'Your job: locate, not memorize.'\n\nPanel 7 — Beagle sitting back with a relaxed smile, pen resting on notebook. Text: 'Once you stop trying to understand everything...'\n\nFinal panel — Beagle leaning toward viewer, eyes bright, one paw pointing at the practice test. Purple doodle of a magnifying glass. Text: 'Ohhhh. Reading passages are just a scavenger hunt.'\n\nReference the provided style image to maintain visual consistency in palette, illustration style, and layout.","input_urls":["https://tempfile.redpandaai.co/kieai/11402406/athena-refs/style_ref.jpg"],"aspect_ratio":"4:5"}}</t>
  </si>
  <si>
    <t>3b21bb8d39e81972161933b8656c03a6</t>
  </si>
  <si>
    <t>https://tempfile.aiquickdraw.com/images/chatgpt/file_00000000b308720cb55b7f6f444b7a44.png</t>
  </si>
  <si>
    <t>1A5L4Yt5tpuT0AXDZXbMQwDaAyOuV3qaQ</t>
  </si>
  <si>
    <t>https://drive.google.com/uc?id=1A5L4Yt5tpuT0AXDZXbMQwDaAyOuV3qaQ</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</si>
  <si>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SAT Reading Passages Feel Like a Foreign Language?'
Panel 1 — Beagle hunched over a passage, eyes crossed, completely lost. A dense block of text visible on the page. Text: 'Nothing makes sense. Nothing.'
Panel 2 — Close-up of Beagle's paw tracing a line of text, brow furrowed. Text: 'The words are English. But... what?'
Panel 3 — Medium shot, Beagle looking up at viewer with a serious expression. Text: 'Here is the secret they do not tell you.'
Panel 4 — Beagle at a whiteboard with a purple-underlined phrase: 'You are not supposed to understand everything.' Thoughtful expression. Text: 'You only need to find the answer.'
Panel 5 — Side profile of Beagle with highlighter, marking one specific sentence in the passage. Text: 'The answer is always in the passage.'
Panel 6 — Over-the-shoulder shot, Beagle circling a line with a pencil. A small purple arrow points to it. Text: 'Your job: locate, not memorize.'
Panel 7 — Beagle sitting back with a relaxed smile, pen resting on notebook. Text: 'Once you stop trying to understand everything...'
Final panel — Beagle leaning toward viewer, eyes bright, one paw pointing at the practice test. Purple doodle of a magnifying glass. Text: 'Ohhhh. Reading passages are just a scavenger hunt.'
Reference the provided style image to maintain visual consistency in palette, illustration style, and layout.</t>
  </si>
  <si>
    <t>BE_003</t>
  </si>
  <si>
    <t>Title panel: 'Why Does Studying Hard Not Always Raise Your Score?'
Panel 1 — Beagle surrounded by towering stacks of books, highlighters, and crumpled notes. Overwhelmed expression. Text: 'I studied for weeks. My score barely moved.'
Panel 2 — Close-up of Beagle looking down at a practice test with a low score circled in red. Ears drooped. Text: 'That stings.'
Panel 3 — Medium shot, Beagle sitting at a desk, chin resting on both paws. Text: 'Studying hard is not the same as studying right.'
Panel 4 — Beagle standing at a whiteboard. Two columns: 'Hard Work' on the left, 'Smart Work' on the right. Purple checkmark under Smart Work. Text: 'The SAT rewards pattern recognition. Not memorization.'
Panel 5 — Side profile of Beagle reviewing one single wrong answer carefully, pencil in paw. Text: 'One wrong answer studied deeply beats ten problems rushed.'
Panel 6 — Over-the-shoulder shot of Beagle's notebook. Page reads: 'Why did I miss this?' Underlined in purple. Text: 'Ask why. Every single time.'
Panel 7 — Beagle looking at a new practice test, calm and focused. Small smile. Text: 'Then the score starts to move.'
Final panel — Beagle mid-celebration, paws up, eyes wide with joy. Purple star doodles around head. Text: 'Ohhhh. I was not failing the SAT. I was failing my study method.'</t>
  </si>
  <si>
    <t>Speaks directly to the frustrated parent/student who is working hard with no results; study method vs effort reframe is honest and actionable</t>
  </si>
  <si>
    <t>2026-07-15T13:11:24.330-07:00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</si>
  <si>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Studying Hard Not Always Raise Your Score?'\n\nPanel 1 — Beagle surrounded by towering stacks of books, highlighters, and crumpled notes. Overwhelmed expression. Text: 'I studied for weeks. My score barely moved.'\n\nPanel 2 — Close-up of Beagle looking down at a practice test with a low score circled in red. Ears drooped. Text: 'That stings.'\n\nPanel 3 — Medium shot, Beagle sitting at a desk, chin resting on both paws. Text: 'Studying hard is not the same as studying right.'\n\nPanel 4 — Beagle standing at a whiteboard. Two columns: 'Hard Work' on the left, 'Smart Work' on the right. Purple checkmark under Smart Work. Text: 'The SAT rewards pattern recognition. Not memorization.'\n\nPanel 5 — Side profile of Beagle reviewing one single wrong answer carefully, pencil in paw. Text: 'One wrong answer studied deeply beats ten problems rushed.'\n\nPanel 6 — Over-the-shoulder shot of Beagle's notebook. Page reads: 'Why did I miss this?' Underlined in purple. Text: 'Ask why. Every single time.'\n\nPanel 7 — Beagle looking at a new practice test, calm and focused. Small smile. Text: 'Then the score starts to move.'\n\nFinal panel — Beagle mid-celebration, paws up, eyes wide with joy. Purple star doodles around head. Text: 'Ohhhh. I was not failing the SAT. I was failing my study method.'\n\nReference the provided style image to maintain visual consistency in palette, illustration style, and layout.","input_urls":["https://tempfile.redpandaai.co/kieai/11402406/athena-refs/style_ref.jpg"],"aspect_ratio":"4:5"}}</t>
  </si>
  <si>
    <t>7516b70ba2190a7374dad8ce50328ba5</t>
  </si>
  <si>
    <t>https://tempfile.aiquickdraw.com/images/chatgpt/file_00000000cf80720c920928e2e2a07c10.png</t>
  </si>
  <si>
    <t>109gBhPKLZ7CUpSPuki-t71akx5xBVhjw</t>
  </si>
  <si>
    <t>https://drive.google.com/uc?id=109gBhPKLZ7CUpSPuki-t71akx5xBVhjw</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</si>
  <si>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Studying Hard Not Always Raise Your Score?'
Panel 1 — Beagle surrounded by towering stacks of books, highlighters, and crumpled notes. Overwhelmed expression. Text: 'I studied for weeks. My score barely moved.'
Panel 2 — Close-up of Beagle looking down at a practice test with a low score circled in red. Ears drooped. Text: 'That stings.'
Panel 3 — Medium shot, Beagle sitting at a desk, chin resting on both paws. Text: 'Studying hard is not the same as studying right.'
Panel 4 — Beagle standing at a whiteboard. Two columns: 'Hard Work' on the left, 'Smart Work' on the right. Purple checkmark under Smart Work. Text: 'The SAT rewards pattern recognition. Not memorization.'
Panel 5 — Side profile of Beagle reviewing one single wrong answer carefully, pencil in paw. Text: 'One wrong answer studied deeply beats ten problems rushed.'
Panel 6 — Over-the-shoulder shot of Beagle's notebook. Page reads: 'Why did I miss this?' Underlined in purple. Text: 'Ask why. Every single time.'
Panel 7 — Beagle looking at a new practice test, calm and focused. Small smile. Text: 'Then the score starts to move.'
Final panel — Beagle mid-celebration, paws up, eyes wide with joy. Purple star doodles around head. Text: 'Ohhhh. I was not failing the SAT. I was failing my study method.'
Reference the provided style image to maintain visual consistency in palette, illustration style, and layout.</t>
  </si>
  <si>
    <t>BE_004</t>
  </si>
  <si>
    <t>Title panel: 'Why Is SAT Math So Different From School Math?'
Panel 1 — Beagle staring at an SAT math problem, calculator in paw, completely frozen. Text: 'I get an A in math. But this feels impossible.'
Panel 2 — Close-up of Beagle's confused face next to an SAT problem that uses familiar numbers in a strange setup. Text: 'Same math. Different packaging.'
Panel 3 — Medium shot, Beagle looking at viewer with curiosity. Text: 'School math tests if you learned the lesson.'
Panel 4 — Beagle at whiteboard, drawing two boxes: 'School Math = Follow the steps' vs 'SAT Math = Find the trick.' Purple underline under 'Find the trick.' Text: 'SAT math tests if you can think flexibly.'
Panel 5 — Side profile of Beagle working through a problem two different ways on paper. Text: 'There is almost always a shortcut. Find it.'
Panel 6 — Overhead desk view: Beagle erasing a long solution and rewriting a short one below it. Text: 'Less work usually means you found the right path.'
Panel 7 — Beagle leaning back, tapping pencil to chin, small grin forming. Text: 'The SAT is not testing your calculator. It is testing your instincts.'
Final panel — Beagle looking directly at viewer, relaxed confidence. Purple lightbulb doodle. Text: 'Ohhhh. SAT math is a puzzle, not a test.'</t>
  </si>
  <si>
    <t>Puzzle vs test reframe is fresh; visual contrast of long solution vs short solution is concrete and renderable; resonates with A-student-who-freezes persona</t>
  </si>
  <si>
    <t>2026-07-15T13:11:24.333-07:00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</si>
  <si>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SAT Math So Different From School Math?'\n\nPanel 1 — Beagle staring at an SAT math problem, calculator in paw, completely frozen. Text: 'I get an A in math. But this feels impossible.'\n\nPanel 2 — Close-up of Beagle's confused face next to an SAT problem that uses familiar numbers in a strange setup. Text: 'Same math. Different packaging.'\n\nPanel 3 — Medium shot, Beagle looking at viewer with curiosity. Text: 'School math tests if you learned the lesson.'\n\nPanel 4 — Beagle at whiteboard, drawing two boxes: 'School Math = Follow the steps' vs 'SAT Math = Find the trick.' Purple underline under 'Find the trick.' Text: 'SAT math tests if you can think flexibly.'\n\nPanel 5 — Side profile of Beagle working through a problem two different ways on paper. Text: 'There is almost always a shortcut. Find it.'\n\nPanel 6 — Overhead desk view: Beagle erasing a long solution and rewriting a short one below it. Text: 'Less work usually means you found the right path.'\n\nPanel 7 — Beagle leaning back, tapping pencil to chin, small grin forming. Text: 'The SAT is not testing your calculator. It is testing your instincts.'\n\nFinal panel — Beagle looking directly at viewer, relaxed confidence. Purple lightbulb doodle. Text: 'Ohhhh. SAT math is a puzzle, not a test.'\n\nReference the provided style image to maintain visual consistency in palette, illustration style, and layout.","input_urls":["https://tempfile.redpandaai.co/kieai/11402406/athena-refs/style_ref.jpg"],"aspect_ratio":"4:5"}}</t>
  </si>
  <si>
    <t>9d9a21de67220fa28af5031479cdc097</t>
  </si>
  <si>
    <t>https://tempfile.aiquickdraw.com/images/chatgpt/file_00000000ee4071f59e9c69d9248a8f1a.png</t>
  </si>
  <si>
    <t>1qpnNFRdxDT-5fzEqloOO-FK9a0GhxtA1</t>
  </si>
  <si>
    <t>https://drive.google.com/uc?id=1qpnNFRdxDT-5fzEqloOO-FK9a0GhxtA1</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</si>
  <si>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SAT Math So Different From School Math?'
Panel 1 — Beagle staring at an SAT math problem, calculator in paw, completely frozen. Text: 'I get an A in math. But this feels impossible.'
Panel 2 — Close-up of Beagle's confused face next to an SAT problem that uses familiar numbers in a strange setup. Text: 'Same math. Different packaging.'
Panel 3 — Medium shot, Beagle looking at viewer with curiosity. Text: 'School math tests if you learned the lesson.'
Panel 4 — Beagle at whiteboard, drawing two boxes: 'School Math = Follow the steps' vs 'SAT Math = Find the trick.' Purple underline under 'Find the trick.' Text: 'SAT math tests if you can think flexibly.'
Panel 5 — Side profile of Beagle working through a problem two different ways on paper. Text: 'There is almost always a shortcut. Find it.'
Panel 6 — Overhead desk view: Beagle erasing a long solution and rewriting a short one below it. Text: 'Less work usually means you found the right path.'
Panel 7 — Beagle leaning back, tapping pencil to chin, small grin forming. Text: 'The SAT is not testing your calculator. It is testing your instincts.'
Final panel — Beagle looking directly at viewer, relaxed confidence. Purple lightbulb doodle. Text: 'Ohhhh. SAT math is a puzzle, not a test.'
Reference the provided style image to maintain visual consistency in palette, illustration style, and layout.</t>
  </si>
  <si>
    <t>BE_005</t>
  </si>
  <si>
    <t>Title panel: 'Why Do Some Kids Go Up 200 Points and Others Do Not?'
Panel 1 — Beagle sitting beside a friend (a stuffed animal rabbit used as a prop) at the same desk, same books. Text: 'Same starting score. Same study time.'
Panel 2 — Close-up of Beagle looking puzzled, holding two score reports side by side. Text: 'But completely different results. Why?'
Panel 3 — Medium shot, Beagle writing in a notebook labeled 'My Mistakes.' Expression: focused and calm. Text: 'One of them studied what they got wrong.'
Panel 4 — Side profile of Beagle flipping back through old practice tests, circling patterns. Text: 'The other just did more problems.'
Panel 5 — Beagle pointing at the notebook, looking at viewer. Purple arrow points to the words 'same mistake, twice.' Text: 'Repetition without reflection is just running in circles.'
Panel 6 — Over-the-shoulder view of Beagle's notes with a simple grid tracking error types by category. Text: 'Know your patterns. Own your gaps.'
Panel 7 — Beagle sitting with a small satisfied smile, pen in paw, score report showing improvement. Text: 'The 200-point kids did not study more. They studied smarter.'
Final panel — Beagle smiling wide at viewer, paw to heart. Purple heart doodle. Text: 'Ohhhh. The secret is not effort. It is awareness.'</t>
  </si>
  <si>
    <t>Awareness vs effort is a strong insight; stuffed rabbit prop is charming and avoids needing a second character; error tracking grid is visually concrete</t>
  </si>
  <si>
    <t>2026-07-15T13:11:24.336-07:00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</si>
  <si>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Some Kids Go Up 200 Points and Others Do Not?'\n\nPanel 1 — Beagle sitting beside a friend (a stuffed animal rabbit used as a prop) at the same desk, same books. Text: 'Same starting score. Same study time.'\n\nPanel 2 — Close-up of Beagle looking puzzled, holding two score reports side by side. Text: 'But completely different results. Why?'\n\nPanel 3 — Medium shot, Beagle writing in a notebook labeled 'My Mistakes.' Expression: focused and calm. Text: 'One of them studied what they got wrong.'\n\nPanel 4 — Side profile of Beagle flipping back through old practice tests, circling patterns. Text: 'The other just did more problems.'\n\nPanel 5 — Beagle pointing at the notebook, looking at viewer. Purple arrow points to the words 'same mistake, twice.' Text: 'Repetition without reflection is just running in circles.'\n\nPanel 6 — Over-the-shoulder view of Beagle's notes with a simple grid tracking error types by category. Text: 'Know your patterns. Own your gaps.'\n\nPanel 7 — Beagle sitting with a small satisfied smile, pen in paw, score report showing improvement. Text: 'The 200-point kids did not study more. They studied smarter.'\n\nFinal panel — Beagle smiling wide at viewer, paw to heart. Purple heart doodle. Text: 'Ohhhh. The secret is not effort. It is awareness.'\n\nReference the provided style image to maintain visual consistency in palette, illustration style, and layout.","input_urls":["https://tempfile.redpandaai.co/kieai/11402406/athena-refs/style_ref.jpg"],"aspect_ratio":"4:5"}}</t>
  </si>
  <si>
    <t>2b1c0dd8e065001088171d348b331a6d</t>
  </si>
  <si>
    <t>https://tempfile.aiquickdraw.com/images/chatgpt/file_00000000f4d471fd9f0c87a5a530ca8e.png</t>
  </si>
  <si>
    <t>11orFzPxTHpyaaZZczJJRK1hAtQt7cb8x</t>
  </si>
  <si>
    <t>https://drive.google.com/uc?id=11orFzPxTHpyaaZZczJJRK1hAtQt7cb8x</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</si>
  <si>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Some Kids Go Up 200 Points and Others Do Not?'
Panel 1 — Beagle sitting beside a friend (a stuffed animal rabbit used as a prop) at the same desk, same books. Text: 'Same starting score. Same study time.'
Panel 2 — Close-up of Beagle looking puzzled, holding two score reports side by side. Text: 'But completely different results. Why?'
Panel 3 — Medium shot, Beagle writing in a notebook labeled 'My Mistakes.' Expression: focused and calm. Text: 'One of them studied what they got wrong.'
Panel 4 — Side profile of Beagle flipping back through old practice tests, circling patterns. Text: 'The other just did more problems.'
Panel 5 — Beagle pointing at the notebook, looking at viewer. Purple arrow points to the words 'same mistake, twice.' Text: 'Repetition without reflection is just running in circles.'
Panel 6 — Over-the-shoulder view of Beagle's notes with a simple grid tracking error types by category. Text: 'Know your patterns. Own your gaps.'
Panel 7 — Beagle sitting with a small satisfied smile, pen in paw, score report showing improvement. Text: 'The 200-point kids did not study more. They studied smarter.'
Final panel — Beagle smiling wide at viewer, paw to heart. Purple heart doodle. Text: 'Ohhhh. The secret is not effort. It is awareness.'
Reference the provided style image to maintain visual consistency in palette, illustration style, and layout.</t>
  </si>
  <si>
    <t>BE_006</t>
  </si>
  <si>
    <t>Title panel: 'Why Does Test Anxiety Make Smart Kids Blank Out?'
Panel 1 — Beagle at a test desk, pencil in paw, staring at a question. Eyes wide. Mind visually empty — illustrated as a blank white thought bubble. Text: 'I knew this yesterday. I know I knew this.'
Panel 2 — Close-up of Beagle's face, mouth slightly open in panic. Tiny beads of sweat. Text: 'But right now... nothing.'
Panel 3 — Medium shot, Beagle looking at viewer. Text: 'Your brain has a built-in alarm system.'
Panel 4 — Beagle at whiteboard with a simple brain sketch. One half labeled 'Thinking.' Other half labeled 'Alarm.' Purple arrow pointing from Alarm to Thinking with an X through it. Text: 'When the alarm fires, the thinking part shuts down.'
Panel 5 — Side profile of Beagle closing eyes, paw flat on desk, taking a slow breath. Calm expression returning. Text: 'Three slow breaths. That is not a cliche. That is biology.'
Panel 6 — Beagle opening eyes slowly, refocused, pencil back in paw. Small thought bubble now has the answer inside it. Text: 'The knowledge did not go anywhere. The alarm just had to stop.'
Panel 7 — Beagle looking down at the test, working steadily. Text: 'The answer was always there. You just needed quiet.'
Final panel — Beagle looking at viewer with a warm, knowing expression. Purple thought bubble doodle. Text: 'Ohhhh. I am not bad under pressure. I just never learned to reset.'</t>
  </si>
  <si>
    <t>Brain alarm diagram is simple and renderable; biology framing elevates 'take a breath' beyond cliche; blank thought bubble then filled thought bubble is a clean visual payoff</t>
  </si>
  <si>
    <t>2026-07-15T13:11:24.340-07:00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</si>
  <si>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Test Anxiety Make Smart Kids Blank Out?'\n\nPanel 1 — Beagle at a test desk, pencil in paw, staring at a question. Eyes wide. Mind visually empty — illustrated as a blank white thought bubble. Text: 'I knew this yesterday. I know I knew this.'\n\nPanel 2 — Close-up of Beagle's face, mouth slightly open in panic. Tiny beads of sweat. Text: 'But right now... nothing.'\n\nPanel 3 — Medium shot, Beagle looking at viewer. Text: 'Your brain has a built-in alarm system.'\n\nPanel 4 — Beagle at whiteboard with a simple brain sketch. One half labeled 'Thinking.' Other half labeled 'Alarm.' Purple arrow pointing from Alarm to Thinking with an X through it. Text: 'When the alarm fires, the thinking part shuts down.'\n\nPanel 5 — Side profile of Beagle closing eyes, paw flat on desk, taking a slow breath. Calm expression returning. Text: 'Three slow breaths. That is not a cliche. That is biology.'\n\nPanel 6 — Beagle opening eyes slowly, refocused, pencil back in paw. Small thought bubble now has the answer inside it. Text: 'The knowledge did not go anywhere. The alarm just had to stop.'\n\nPanel 7 — Beagle looking down at the test, working steadily. Text: 'The answer was always there. You just needed quiet.'\n\nFinal panel — Beagle looking at viewer with a warm, knowing expression. Purple thought bubble doodle. Text: 'Ohhhh. I am not bad under pressure. I just never learned to reset.'\n\nReference the provided style image to maintain visual consistency in palette, illustration style, and layout.","input_urls":["https://tempfile.redpandaai.co/kieai/11402406/athena-refs/style_ref.jpg"],"aspect_ratio":"4:5"}}</t>
  </si>
  <si>
    <t>f785a62a7ffc08b0c3e4c36512394848</t>
  </si>
  <si>
    <t>https://tempfile.aiquickdraw.com/images/chatgpt/file_00000000b8e871fd97834e4739db4425.png</t>
  </si>
  <si>
    <t>1a-iX9Gd78mBH4NRLoUtncFTcj0Ts8eIB</t>
  </si>
  <si>
    <t>https://drive.google.com/uc?id=1a-iX9Gd78mBH4NRLoUtncFTcj0Ts8eIB</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</si>
  <si>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Test Anxiety Make Smart Kids Blank Out?'
Panel 1 — Beagle at a test desk, pencil in paw, staring at a question. Eyes wide. Mind visually empty — illustrated as a blank white thought bubble. Text: 'I knew this yesterday. I know I knew this.'
Panel 2 — Close-up of Beagle's face, mouth slightly open in panic. Tiny beads of sweat. Text: 'But right now... nothing.'
Panel 3 — Medium shot, Beagle looking at viewer. Text: 'Your brain has a built-in alarm system.'
Panel 4 — Beagle at whiteboard with a simple brain sketch. One half labeled 'Thinking.' Other half labeled 'Alarm.' Purple arrow pointing from Alarm to Thinking with an X through it. Text: 'When the alarm fires, the thinking part shuts down.'
Panel 5 — Side profile of Beagle closing eyes, paw flat on desk, taking a slow breath. Calm expression returning. Text: 'Three slow breaths. That is not a cliche. That is biology.'
Panel 6 — Beagle opening eyes slowly, refocused, pencil back in paw. Small thought bubble now has the answer inside it. Text: 'The knowledge did not go anywhere. The alarm just had to stop.'
Panel 7 — Beagle looking down at the test, working steadily. Text: 'The answer was always there. You just needed quiet.'
Final panel — Beagle looking at viewer with a warm, knowing expression. Purple thought bubble doodle. Text: 'Ohhhh. I am not bad under pressure. I just never learned to reset.'
Reference the provided style image to maintain visual consistency in palette, illustration style, and layout.</t>
  </si>
  <si>
    <t>BE_008</t>
  </si>
  <si>
    <t>Title panel: 'Why Is the First SAT Score Almost Never the Real Score?'
Panel 1 — Beagle opening an envelope with their first score report. Eyes scan the number. Ears droop slightly. Text: 'That is... lower than I hoped.'
Panel 2 — Close-up of Beagle looking at score report, then looking up at viewer. Text: 'Does this score define me?'
Panel 3 — Medium shot, Beagle sitting calmly at desk with a notebook labeled 'What I Learned.' Text: 'Every first score is really just a diagnostic.'
Panel 4 — Beagle at whiteboard drawing a simple upward arrow with dips along the way. Purple highlights on the dips. Text: 'Scores almost never go straight up. They zigzag up.'
Panel 5 — Side profile of Beagle with a practice test, carefully marking wrong answers. Text: 'The first test shows you where to look.'
Panel 6 — Over-the-shoulder shot: Beagle writes in notebook 'I missed every inference question.' Underlined in purple. Text: 'That is not failure. That is a map.'
Panel 7 — Beagle sitting with a new score report, eyes wide with pleasant surprise. Text: 'The first score is not the final score. It is the starting line.'
Final panel — Beagle holding both score reports side by side, grinning. Purple star doodles. Text: 'Ohhhh. My first score did not measure my ability. It measured my starting point.'</t>
  </si>
  <si>
    <t>Score-as-map reframe is emotionally resonant for anxious parents; zigzag arrow visual is concrete; opening envelope moment is universally relatable</t>
  </si>
  <si>
    <t>2026-07-15T13:11:24.343-07:00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</si>
  <si>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the First SAT Score Almost Never the Real Score?'\n\nPanel 1 — Beagle opening an envelope with their first score report. Eyes scan the number. Ears droop slightly. Text: 'That is... lower than I hoped.'\n\nPanel 2 — Close-up of Beagle looking at score report, then looking up at viewer. Text: 'Does this score define me?'\n\nPanel 3 — Medium shot, Beagle sitting calmly at desk with a notebook labeled 'What I Learned.' Text: 'Every first score is really just a diagnostic.'\n\nPanel 4 — Beagle at whiteboard drawing a simple upward arrow with dips along the way. Purple highlights on the dips. Text: 'Scores almost never go straight up. They zigzag up.'\n\nPanel 5 — Side profile of Beagle with a practice test, carefully marking wrong answers. Text: 'The first test shows you where to look.'\n\nPanel 6 — Over-the-shoulder shot: Beagle writes in notebook 'I missed every inference question.' Underlined in purple. Text: 'That is not failure. That is a map.'\n\nPanel 7 — Beagle sitting with a new score report, eyes wide with pleasant surprise. Text: 'The first score is not the final score. It is the starting line.'\n\nFinal panel — Beagle holding both score reports side by side, grinning. Purple star doodles. Text: 'Ohhhh. My first score did not measure my ability. It measured my starting point.'\n\nReference the provided style image to maintain visual consistency in palette, illustration style, and layout.","input_urls":["https://tempfile.redpandaai.co/kieai/11402406/athena-refs/style_ref.jpg"],"aspect_ratio":"4:5"}}</t>
  </si>
  <si>
    <t>5556cf8dcb8dcf33250cdc30697569ea</t>
  </si>
  <si>
    <t>https://tempfile.aiquickdraw.com/images/chatgpt/file_000000009efc720c8c099ceed7a9b99f.png</t>
  </si>
  <si>
    <t>17fXMbj_BmjDf6pIYhRaHoZJt5mA2nmC1</t>
  </si>
  <si>
    <t>https://drive.google.com/uc?id=17fXMbj_BmjDf6pIYhRaHoZJt5mA2nmC1</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</si>
  <si>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the First SAT Score Almost Never the Real Score?'
Panel 1 — Beagle opening an envelope with their first score report. Eyes scan the number. Ears droop slightly. Text: 'That is... lower than I hoped.'
Panel 2 — Close-up of Beagle looking at score report, then looking up at viewer. Text: 'Does this score define me?'
Panel 3 — Medium shot, Beagle sitting calmly at desk with a notebook labeled 'What I Learned.' Text: 'Every first score is really just a diagnostic.'
Panel 4 — Beagle at whiteboard drawing a simple upward arrow with dips along the way. Purple highlights on the dips. Text: 'Scores almost never go straight up. They zigzag up.'
Panel 5 — Side profile of Beagle with a practice test, carefully marking wrong answers. Text: 'The first test shows you where to look.'
Panel 6 — Over-the-shoulder shot: Beagle writes in notebook 'I missed every inference question.' Underlined in purple. Text: 'That is not failure. That is a map.'
Panel 7 — Beagle sitting with a new score report, eyes wide with pleasant surprise. Text: 'The first score is not the final score. It is the starting line.'
Final panel — Beagle holding both score reports side by side, grinning. Purple star doodles. Text: 'Ohhhh. My first score did not measure my ability. It measured my starting point.'
Reference the provided style image to maintain visual consistency in palette, illustration style, and layout.</t>
  </si>
  <si>
    <t>BE_009</t>
  </si>
  <si>
    <t>Title panel: 'Why Does Your Brain Forget Everything the Night Before the Test?'
Panel 1 — Beagle at a desk at 11pm, surrounded by flashcards, textbooks, and empty snack wrappers. Panicked expression. Text: 'I have to cram everything tonight.'
Panel 2 — Close-up of Beagle staring at a flashcard, then flipping it over to find... nothing registers. Blank expression. Text: 'Why is nothing sticking?'
Panel 3 — Medium shot, Beagle looking directly at viewer. Text: 'Because your brain does not store memories while you study.'
Panel 4 — Beagle at whiteboard with a sketch of a sleeping Beagle and a glowing brain above it. Purple arrow labeled 'This is when memory forms.' Text: 'It stores them while you sleep.'
Panel 5 — Side profile of Beagle closing textbook firmly, lamp switching off. Resolute expression. Text: 'Cramming at midnight is borrowing from tomorrow.'
Panel 6 — Beagle lying in bed, eyes peacefully closed, small smile. Books closed on the desk nearby. Text: 'The most powerful SAT prep the night before is eight hours of sleep.'
Panel 7 — Beagle waking up at the desk the next morning, alert and calm. Text: 'Rested brain. Faster recall. Clearer thinking.'
Final panel — Beagle looking at viewer from a test desk, confident and sharp. Purple moon and star doodles. Text: 'Ohhhh. Sleep is not lazy. Sleep is the last study session.'</t>
  </si>
  <si>
    <t>Sleep-as-study-session is counterintuitive enough to stop a scroll; memory consolidation framing elevates it beyond common advice; 11pm cram scene is instantly recognizable</t>
  </si>
  <si>
    <t>2026-07-15T13:11:24.346-07:00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</si>
  <si>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Brain Forget Everything the Night Before the Test?'\n\nPanel 1 — Beagle at a desk at 11pm, surrounded by flashcards, textbooks, and empty snack wrappers. Panicked expression. Text: 'I have to cram everything tonight.'\n\nPanel 2 — Close-up of Beagle staring at a flashcard, then flipping it over to find... nothing registers. Blank expression. Text: 'Why is nothing sticking?'\n\nPanel 3 — Medium shot, Beagle looking directly at viewer. Text: 'Because your brain does not store memories while you study.'\n\nPanel 4 — Beagle at whiteboard with a sketch of a sleeping Beagle and a glowing brain above it. Purple arrow labeled 'This is when memory forms.' Text: 'It stores them while you sleep.'\n\nPanel 5 — Side profile of Beagle closing textbook firmly, lamp switching off. Resolute expression. Text: 'Cramming at midnight is borrowing from tomorrow.'\n\nPanel 6 — Beagle lying in bed, eyes peacefully closed, small smile. Books closed on the desk nearby. Text: 'The most powerful SAT prep the night before is eight hours of sleep.'\n\nPanel 7 — Beagle waking up at the desk the next morning, alert and calm. Text: 'Rested brain. Faster recall. Clearer thinking.'\n\nFinal panel — Beagle looking at viewer from a test desk, confident and sharp. Purple moon and star doodles. Text: 'Ohhhh. Sleep is not lazy. Sleep is the last study session.'\n\nReference the provided style image to maintain visual consistency in palette, illustration style, and layout.","input_urls":["https://tempfile.redpandaai.co/kieai/11402406/athena-refs/style_ref.jpg"],"aspect_ratio":"4:5"}}</t>
  </si>
  <si>
    <t>82e7523411f3b3e6a54a99b7a0a86cea</t>
  </si>
  <si>
    <t>https://tempfile.aiquickdraw.com/images/chatgpt/file_0000000026c871fd9112c0a0f8f6bd03.png</t>
  </si>
  <si>
    <t>1LPgH6UL8bQf9gNrRe7uOfOdMCj2WTCX0</t>
  </si>
  <si>
    <t>https://drive.google.com/uc?id=1LPgH6UL8bQf9gNrRe7uOfOdMCj2WTCX0</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</si>
  <si>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Brain Forget Everything the Night Before the Test?'
Panel 1 — Beagle at a desk at 11pm, surrounded by flashcards, textbooks, and empty snack wrappers. Panicked expression. Text: 'I have to cram everything tonight.'
Panel 2 — Close-up of Beagle staring at a flashcard, then flipping it over to find... nothing registers. Blank expression. Text: 'Why is nothing sticking?'
Panel 3 — Medium shot, Beagle looking directly at viewer. Text: 'Because your brain does not store memories while you study.'
Panel 4 — Beagle at whiteboard with a sketch of a sleeping Beagle and a glowing brain above it. Purple arrow labeled 'This is when memory forms.' Text: 'It stores them while you sleep.'
Panel 5 — Side profile of Beagle closing textbook firmly, lamp switching off. Resolute expression. Text: 'Cramming at midnight is borrowing from tomorrow.'
Panel 6 — Beagle lying in bed, eyes peacefully closed, small smile. Books closed on the desk nearby. Text: 'The most powerful SAT prep the night before is eight hours of sleep.'
Panel 7 — Beagle waking up at the desk the next morning, alert and calm. Text: 'Rested brain. Faster recall. Clearer thinking.'
Final panel — Beagle looking at viewer from a test desk, confident and sharp. Purple moon and star doodles. Text: 'Ohhhh. Sleep is not lazy. Sleep is the last study session.'
Reference the provided style image to maintain visual consistency in palette, illustration style, and layout.</t>
  </si>
  <si>
    <t>BE_010</t>
  </si>
  <si>
    <t>Title panel: 'Why Do SAT Answer Choices Feel Like They Are All Correct?'
Panel 1 — Beagle staring at four answer choices, pencil hovering. All four look reasonable. Expression: deep confusion. Text: 'They all look right. I cannot decide.'
Panel 2 — Close-up of Beagle's eyes scanning between choices A and C. Tiny drops of sweat. Text: 'The SAT is doing this on purpose.'
Panel 3 — Medium shot, Beagle looking at viewer with a knowing squint. Text: 'Wrong answers are designed to feel right.'
Panel 4 — Beagle at whiteboard. Four answer types listed: 'Too extreme,' 'Almost true,' 'True but irrelevant,' 'The right one.' Purple box around 'The right one.' Text: 'They call them distractors for a reason.'
Panel 5 — Side profile of Beagle returning to the passage and underlining a specific sentence. Text: 'The question is not: which answer sounds good?'
Panel 6 — Over-the-shoulder shot: Beagle's paw points to passage, then to the matching answer. A purple check mark appears. Text: 'The question is: which answer can I prove using the text?'
Panel 7 — Beagle circling the correct answer calmly, leaning back with ease. Text: 'Once you stop trusting your gut and start trusting evidence...'
Final panel — Beagle grinning at viewer, pencil tucked behind ear. Purple magnifying glass doodle. Text: 'Ohhhh. The SAT is not trying to trick me. It is testing whether I look for proof.'</t>
  </si>
  <si>
    <t>Distractor taxonomy on the whiteboard is visually concrete and genuinely teachable; proof-not-gut reframe is fresh and directly actionable; strong payoff panel</t>
  </si>
  <si>
    <t>2026-07-15T13:11:24.349-07:00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</si>
  <si>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SAT Answer Choices Feel Like They Are All Correct?'\n\nPanel 1 — Beagle staring at four answer choices, pencil hovering. All four look reasonable. Expression: deep confusion. Text: 'They all look right. I cannot decide.'\n\nPanel 2 — Close-up of Beagle's eyes scanning between choices A and C. Tiny drops of sweat. Text: 'The SAT is doing this on purpose.'\n\nPanel 3 — Medium shot, Beagle looking at viewer with a knowing squint. Text: 'Wrong answers are designed to feel right.'\n\nPanel 4 — Beagle at whiteboard. Four answer types listed: 'Too extreme,' 'Almost true,' 'True but irrelevant,' 'The right one.' Purple box around 'The right one.' Text: 'They call them distractors for a reason.'\n\nPanel 5 — Side profile of Beagle returning to the passage and underlining a specific sentence. Text: 'The question is not: which answer sounds good?'\n\nPanel 6 — Over-the-shoulder shot: Beagle's paw points to passage, then to the matching answer. A purple check mark appears. Text: 'The question is: which answer can I prove using the text?'\n\nPanel 7 — Beagle circling the correct answer calmly, leaning back with ease. Text: 'Once you stop trusting your gut and start trusting evidence...'\n\nFinal panel — Beagle grinning at viewer, pencil tucked behind ear. Purple magnifying glass doodle. Text: 'Ohhhh. The SAT is not trying to trick me. It is testing whether I look for proof.'\n\nReference the provided style image to maintain visual consistency in palette, illustration style, and layout.","input_urls":["https://tempfile.redpandaai.co/kieai/11402406/athena-refs/style_ref.jpg"],"aspect_ratio":"4:5"}}</t>
  </si>
  <si>
    <t>53aafefc77e93cf53a1fc84da67b1c33</t>
  </si>
  <si>
    <t>https://tempfile.aiquickdraw.com/images/chatgpt/file_00000000890871f69ee0e669b8e16b22.png</t>
  </si>
  <si>
    <t>1M9asYKpO46bvcdqPMJjAgSp8LVbeRykh</t>
  </si>
  <si>
    <t>https://drive.google.com/uc?id=1M9asYKpO46bvcdqPMJjAgSp8LVbeRykh</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</si>
  <si>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SAT Answer Choices Feel Like They Are All Correct?'
Panel 1 — Beagle staring at four answer choices, pencil hovering. All four look reasonable. Expression: deep confusion. Text: 'They all look right. I cannot decide.'
Panel 2 — Close-up of Beagle's eyes scanning between choices A and C. Tiny drops of sweat. Text: 'The SAT is doing this on purpose.'
Panel 3 — Medium shot, Beagle looking at viewer with a knowing squint. Text: 'Wrong answers are designed to feel right.'
Panel 4 — Beagle at whiteboard. Four answer types listed: 'Too extreme,' 'Almost true,' 'True but irrelevant,' 'The right one.' Purple box around 'The right one.' Text: 'They call them distractors for a reason.'
Panel 5 — Side profile of Beagle returning to the passage and underlining a specific sentence. Text: 'The question is not: which answer sounds good?'
Panel 6 — Over-the-shoulder shot: Beagle's paw points to passage, then to the matching answer. A purple check mark appears. Text: 'The question is: which answer can I prove using the text?'
Panel 7 — Beagle circling the correct answer calmly, leaning back with ease. Text: 'Once you stop trusting your gut and start trusting evidence...'
Final panel — Beagle grinning at viewer, pencil tucked behind ear. Purple magnifying glass doodle. Text: 'Ohhhh. The SAT is not trying to trick me. It is testing whether I look for proof.'
Reference the provided style image to maintain visual consistency in palette, illustration style, and layout.</t>
  </si>
  <si>
    <t>sat_myth_001</t>
  </si>
  <si>
    <t>Myth statement: 'MORE PRACTICE TESTS = HIGHER SCORES'
Visual scene: The girl sits at a kitchen table completely buried under an avalanche of printed practice tests — pages cascading off the table, stacked in wobbly towers taller than her head, spilling onto the floor. She's holding a freshly scored test with a red number on it that hasn't moved. Her expression is hollow exhaustion. On the wall behind her, a hand-drawn tally chart shows 'Test #14' — and the score written next to every single entry is identical. The message is clear: volume without understanding is a hamster wheel.
Insight line (bottom of poster): 'Repeating mistakes faster is not the same as learning.'</t>
  </si>
  <si>
    <t>Visually concrete and emotionally resonant — the tally chart with identical scores is a sharp detail. Speaks directly to the exhausted parent or student spinning wheels. Fresh angle on a common behavior.</t>
  </si>
  <si>
    <t>2026-07-15T14:20:49.650-07:00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</si>
  <si>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'MORE PRACTICE TESTS = HIGHER SCORES'\n\nVisual scene: The girl sits at a kitchen table completely buried under an avalanche of printed practice tests — pages cascading off the table, stacked in wobbly towers taller than her head, spilling onto the floor. She's holding a freshly scored test with a red number on it that hasn't moved. Her expression is hollow exhaustion. On the wall behind her, a hand-drawn tally chart shows 'Test #14' — and the score written next to every single entry is identical. The message is clear: volume without understanding is a hamster wheel.\n\nInsight line (bottom of poster): 'Repeating mistakes faster is not the same as learning.'\n\nReference the provided style image to maintain visual consistency in palette, illustration style, and layout.","input_urls":["https://tempfile.redpandaai.co/kieai/11402406/athena-refs/style_ref.jpg"],"aspect_ratio":"4:5"}}</t>
  </si>
  <si>
    <t>c35f7a784622c32a3055493b8af5b318</t>
  </si>
  <si>
    <t>https://tempfile.aiquickdraw.com/images/chatgpt/file_000000007a0871fdbd01d1771bf43b0e.png</t>
  </si>
  <si>
    <t>1cTMMIm-Rd2r5NIGmlo1_3tLtWFUcG9Hz</t>
  </si>
  <si>
    <t>https://drive.google.com/uc?id=1cTMMIm-Rd2r5NIGmlo1_3tLtWFUcG9Hz</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</si>
  <si>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'MORE PRACTICE TESTS = HIGHER SCORES'
Visual scene: The girl sits at a kitchen table completely buried under an avalanche of printed practice tests — pages cascading off the table, stacked in wobbly towers taller than her head, spilling onto the floor. She's holding a freshly scored test with a red number on it that hasn't moved. Her expression is hollow exhaustion. On the wall behind her, a hand-drawn tally chart shows 'Test #14' — and the score written next to every single entry is identical. The message is clear: volume without understanding is a hamster wheel.
Insight line (bottom of poster): 'Repeating mistakes faster is not the same as learning.'
Reference the provided style image to maintain visual consistency in palette, illustration style, and layout.</t>
  </si>
  <si>
    <t>sat_myth_002</t>
  </si>
  <si>
    <t>Myth statement: 'MATH IS THE HARDEST PART TO IMPROVE'
Visual scene: The girl stands at the base of two staircases side by side. The one labeled 'READING' is long, winding, and disappears into fog — suggesting the vague, uncertain climb of improving reading comprehension. The one labeled 'MATH' is a clean, straight staircase with each step clearly numbered and visible all the way to the top — almost invitingly structured. She's mid-pivot, having just turned away from the foggy staircase to face the math one with a look of mild surprise, like she just realized something she should have known earlier.
Insight line (bottom of poster): 'Math follows rules. Rules can be taught. That makes it the most coachable section on the test.'</t>
  </si>
  <si>
    <t>Clean visual contrast between the two staircases works well as a single image. The insight reframes math as an opportunity rather than a barrier — genuinely counter-intuitive and motivating for parents.</t>
  </si>
  <si>
    <t>2026-07-15T14:20:49.654-07:00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</si>
  <si>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'MATH IS THE HARDEST PART TO IMPROVE'\n\nVisual scene: The girl stands at the base of two staircases side by side. The one labeled 'READING' is long, winding, and disappears into fog — suggesting the vague, uncertain climb of improving reading comprehension. The one labeled 'MATH' is a clean, straight staircase with each step clearly numbered and visible all the way to the top — almost invitingly structured. She's mid-pivot, having just turned away from the foggy staircase to face the math one with a look of mild surprise, like she just realized something she should have known earlier.\n\nInsight line (bottom of poster): 'Math follows rules. Rules can be taught. That makes it the most coachable section on the test.'\n\nReference the provided style image to maintain visual consistency in palette, illustration style, and layout.","input_urls":["https://tempfile.redpandaai.co/kieai/11402406/athena-refs/style_ref.jpg"],"aspect_ratio":"4:5"}}</t>
  </si>
  <si>
    <t>bc30c87324365c7ab5da63b121d61cc5</t>
  </si>
  <si>
    <t>https://tempfile.aiquickdraw.com/images/chatgpt/bc30c87324365c7ab5da63b121d61cc5_8c376ff94be94fbb8b663a0919adacf6.png</t>
  </si>
  <si>
    <t>1z1r-BppxMKEg-MMC-JJspDJqEMlVZYCv</t>
  </si>
  <si>
    <t>https://drive.google.com/uc?id=1z1r-BppxMKEg-MMC-JJspDJqEMlVZYCv</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</si>
  <si>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'MATH IS THE HARDEST PART TO IMPROVE'
Visual scene: The girl stands at the base of two staircases side by side. The one labeled 'READING' is long, winding, and disappears into fog — suggesting the vague, uncertain climb of improving reading comprehension. The one labeled 'MATH' is a clean, straight staircase with each step clearly numbered and visible all the way to the top — almost invitingly structured. She's mid-pivot, having just turned away from the foggy staircase to face the math one with a look of mild surprise, like she just realized something she should have known earlier.
Insight line (bottom of poster): 'Math follows rules. Rules can be taught. That makes it the most coachable section on the test.'
Reference the provided style image to maintain visual consistency in palette, illustration style, and layout.</t>
  </si>
  <si>
    <t>sat_myth_003</t>
  </si>
  <si>
    <t>Myth statement: 'IF YOU READ A LOT, YOU'LL DO FINE ON READING'
Visual scene: The girl is curled up happily in an armchair surrounded by a tall stack of novels — clearly a reader, clearly smart. But floating in front of her is an open SAT reading passage about 19th-century crop rotation economics, dense and clinical. She's staring at it with the exact expression of someone who has never seen this kind of text in their life. The novels are warm, colorful, inviting. The passage is grey, small-fonted, and completely alien in tone. The contrast makes the myth collapse on its own.
Insight line (bottom of poster): 'The SAT does not test whether your kid loves books. It tests a very specific set of skills.'</t>
  </si>
  <si>
    <t>Strong visual tension between warm novels and cold passage text. Parent-facing insight is pointed and specific. The scene is immediately recognizable to families of avid readers who assume reading skill transfers automatically.</t>
  </si>
  <si>
    <t>2026-07-15T14:20:49.656-07:00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</si>
  <si>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'IF YOU READ A LOT, YOU'LL DO FINE ON READING'\n\nVisual scene: The girl is curled up happily in an armchair surrounded by a tall stack of novels — clearly a reader, clearly smart. But floating in front of her is an open SAT reading passage about 19th-century crop rotation economics, dense and clinical. She's staring at it with the exact expression of someone who has never seen this kind of text in their life. The novels are warm, colorful, inviting. The passage is grey, small-fonted, and completely alien in tone. The contrast makes the myth collapse on its own.\n\nInsight line (bottom of poster): 'The SAT does not test whether your kid loves books. It tests a very specific set of skills.'\n\nReference the provided style image to maintain visual consistency in palette, illustration style, and layout.","input_urls":["https://tempfile.redpandaai.co/kieai/11402406/athena-refs/style_ref.jpg"],"aspect_ratio":"4:5"}}</t>
  </si>
  <si>
    <t>8c1af007729ad10e61721fd518ca52ad</t>
  </si>
  <si>
    <t>https://tempfile.aiquickdraw.com/images/chatgpt/file_00000000d82c71f58dd359bf039029b4.png</t>
  </si>
  <si>
    <t>1fCjDFQs9v0baMrly6Ck4CbGOLNnmfkUr</t>
  </si>
  <si>
    <t>https://drive.google.com/uc?id=1fCjDFQs9v0baMrly6Ck4CbGOLNnmfkUr</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</si>
  <si>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'IF YOU READ A LOT, YOU'LL DO FINE ON READING'
Visual scene: The girl is curled up happily in an armchair surrounded by a tall stack of novels — clearly a reader, clearly smart. But floating in front of her is an open SAT reading passage about 19th-century crop rotation economics, dense and clinical. She's staring at it with the exact expression of someone who has never seen this kind of text in their life. The novels are warm, colorful, inviting. The passage is grey, small-fonted, and completely alien in tone. The contrast makes the myth collapse on its own.
Insight line (bottom of poster): 'The SAT does not test whether your kid loves books. It tests a very specific set of skills.'
Reference the provided style image to maintain visual consistency in palette, illustration style, and layout.</t>
  </si>
  <si>
    <t>sat_myth_005</t>
  </si>
  <si>
    <t>Myth statement: 'READING MORE BOOKS WILL RAISE THE READING SCORE'. Visual scene: The girl is sitting cross-legged on her bedroom floor, surrounded by a gorgeous, towering ring of novels — classic spines, dog-eared paperbacks, a thick hardcover balanced on her knee. She looks like a true reader: content, absorbed, clearly loves books. But floating just above the circle of books, just out of her reach, is a framed SAT Reading passage — dense, academic, bureaucratic in tone, nothing like what she's reading. It looks alien compared to the warm novels below. Her hand is stretched upward toward it, fingers just shy of touching it, while she stays seated in her comfortable book-world below. The contrast between cozy reading life and the cold clinical passage above her tells the whole story. Insight line at the bottom: 'SAT reading passages are a specific genre. Loving books helps — but it is not the same as learning how they test.'</t>
  </si>
  <si>
    <t>Strong visual contrast between warm novel-world and cold clinical passage does real narrative work without needing text to explain it. Speaks directly to parents of strong readers who are confused by flat scores — a very specific, genuine pain point. Insight is tactful and non-condescending.</t>
  </si>
  <si>
    <t>2026-07-15T16:49:17.325-07:00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</si>
  <si>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'READING MORE BOOKS WILL RAISE THE READING SCORE'. Visual scene: The girl is sitting cross-legged on her bedroom floor, surrounded by a gorgeous, towering ring of novels — classic spines, dog-eared paperbacks, a thick hardcover balanced on her knee. She looks like a true reader: content, absorbed, clearly loves books. But floating just above the circle of books, just out of her reach, is a framed SAT Reading passage — dense, academic, bureaucratic in tone, nothing like what she's reading. It looks alien compared to the warm novels below. Her hand is stretched upward toward it, fingers just shy of touching it, while she stays seated in her comfortable book-world below. The contrast between cozy reading life and the cold clinical passage above her tells the whole story. Insight line at the bottom: 'SAT reading passages are a specific genre. Loving books helps — but it is not the same as learning how they test.'\n\nReference the provided style image to maintain visual consistency in palette, illustration style, and layout.","input_urls":["https://tempfile.redpandaai.co/kieai/11402406/athena-refs/style_ref.jpg"],"aspect_ratio":"4:5"}}</t>
  </si>
  <si>
    <t>beca529131a7c7183e81ca8d4fbdd7dc</t>
  </si>
  <si>
    <t>https://tempfile.aiquickdraw.com/images/chatgpt/file_00000000120471fd940a42fa0621e62b.png</t>
  </si>
  <si>
    <t>1dOWX1f_hzv31hPIJSsKaTMTd44pmr8rc</t>
  </si>
  <si>
    <t>https://drive.google.com/uc?id=1dOWX1f_hzv31hPIJSsKaTMTd44pmr8rc</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</si>
  <si>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'READING MORE BOOKS WILL RAISE THE READING SCORE'. Visual scene: The girl is sitting cross-legged on her bedroom floor, surrounded by a gorgeous, towering ring of novels — classic spines, dog-eared paperbacks, a thick hardcover balanced on her knee. She looks like a true reader: content, absorbed, clearly loves books. But floating just above the circle of books, just out of her reach, is a framed SAT Reading passage — dense, academic, bureaucratic in tone, nothing like what she's reading. It looks alien compared to the warm novels below. Her hand is stretched upward toward it, fingers just shy of touching it, while she stays seated in her comfortable book-world below. The contrast between cozy reading life and the cold clinical passage above her tells the whole story. Insight line at the bottom: 'SAT reading passages are a specific genre. Loving books helps — but it is not the same as learning how they test.'
Reference the provided style image to maintain visual consistency in palette, illustration style, and layout.</t>
  </si>
  <si>
    <t>sat_myth_007</t>
  </si>
  <si>
    <t>Myth statement: 'A TUTOR ONCE A WEEK IS ENOUGH'
Visual scene: A physical therapist's office. A patient (not our girl — an adult, to keep the metaphor neutral) is shown limping in on crutches for their weekly appointment. The therapist works with them for an hour. Then — shown in a sequential drift across the same illustration — the patient goes home and sits completely still on the couch for the next six days, leg elevated, doing nothing. Back at the table in the corner of the same scene, our girl is watching this unfold with a dawning realization on her face, an open SAT workbook in front of her. The metaphor: one hour of expert help cannot compensate for six days of zero reinforcement.
Insight line (bottom of poster): 'What happens between sessions determines everything. One hour a week is a start, not a strategy.'</t>
  </si>
  <si>
    <t>Physical therapy metaphor is fresh, immediately legible, and avoids making the tutor or student the villain. The six-days-of-nothing visual sequence is smart. Directly addresses a real parent purchasing decision.</t>
  </si>
  <si>
    <t>2026-07-15T14:20:49.662-07:00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</si>
  <si>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'A TUTOR ONCE A WEEK IS ENOUGH'\n\nVisual scene: A physical therapist's office. A patient (not our girl — an adult, to keep the metaphor neutral) is shown limping in on crutches for their weekly appointment. The therapist works with them for an hour. Then — shown in a sequential drift across the same illustration — the patient goes home and sits completely still on the couch for the next six days, leg elevated, doing nothing. Back at the table in the corner of the same scene, our girl is watching this unfold with a dawning realization on her face, an open SAT workbook in front of her. The metaphor: one hour of expert help cannot compensate for six days of zero reinforcement.\n\nInsight line (bottom of poster): 'What happens between sessions determines everything. One hour a week is a start, not a strategy.'\n\nReference the provided style image to maintain visual consistency in palette, illustration style, and layout.","input_urls":["https://tempfile.redpandaai.co/kieai/11402406/athena-refs/style_ref.jpg"],"aspect_ratio":"4:5"}}</t>
  </si>
  <si>
    <t>7b73c8322f6347f81301e029e635ce8c</t>
  </si>
  <si>
    <t>https://tempfile.aiquickdraw.com/images/chatgpt/file_0000000094b471fb934d8b2d8bcbce73.png</t>
  </si>
  <si>
    <t>1CQym4nGzVI4Ln7VDzRRsvfZWoe42KM3f</t>
  </si>
  <si>
    <t>https://drive.google.com/uc?id=1CQym4nGzVI4Ln7VDzRRsvfZWoe42KM3f</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</si>
  <si>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'A TUTOR ONCE A WEEK IS ENOUGH'
Visual scene: A physical therapist's office. A patient (not our girl — an adult, to keep the metaphor neutral) is shown limping in on crutches for their weekly appointment. The therapist works with them for an hour. Then — shown in a sequential drift across the same illustration — the patient goes home and sits completely still on the couch for the next six days, leg elevated, doing nothing. Back at the table in the corner of the same scene, our girl is watching this unfold with a dawning realization on her face, an open SAT workbook in front of her. The metaphor: one hour of expert help cannot compensate for six days of zero reinforcement.
Insight line (bottom of poster): 'What happens between sessions determines everything. One hour a week is a start, not a strategy.'
Reference the provided style image to maintain visual consistency in palette, illustration style, and layout.</t>
  </si>
  <si>
    <t>sat_myth_008</t>
  </si>
  <si>
    <t>Myth statement: 'VOCABULARY LISTS ARE THE KEY TO READING SCORES'
Visual scene: The girl stands at a bathroom mirror, flashcards taped in rows across the glass — hundreds of vocabulary words staring back at her. She's clearly been at this for weeks; some cards are curling at the edges. She looks determined but slightly glazed. In her hand is an SAT reading question — and it's not asking her to define a word. It's asking her to identify why an author shifted tone in paragraph three. The vocabulary wall behind her is impressively large and completely irrelevant to the question in her hand. The gap between what she prepared for and what the test actually asks is the whole story.
Insight line (bottom of poster): 'The new SAT tests how you read, not what you've memorized. The words are not the point.'</t>
  </si>
  <si>
    <t>Vocabulary wall vs. actual question type is a visually clean and emotionally satisfying contradiction. Highly relevant to the prep-culture parents already believe in. The curling flashcard detail adds authenticity.</t>
  </si>
  <si>
    <t>2026-07-15T14:20:49.664-07:00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</si>
  <si>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'VOCABULARY LISTS ARE THE KEY TO READING SCORES'\n\nVisual scene: The girl stands at a bathroom mirror, flashcards taped in rows across the glass — hundreds of vocabulary words staring back at her. She's clearly been at this for weeks; some cards are curling at the edges. She looks determined but slightly glazed. In her hand is an SAT reading question — and it's not asking her to define a word. It's asking her to identify why an author shifted tone in paragraph three. The vocabulary wall behind her is impressively large and completely irrelevant to the question in her hand. The gap between what she prepared for and what the test actually asks is the whole story.\n\nInsight line (bottom of poster): 'The new SAT tests how you read, not what you've memorized. The words are not the point.'\n\nReference the provided style image to maintain visual consistency in palette, illustration style, and layout.","input_urls":["https://tempfile.redpandaai.co/kieai/11402406/athena-refs/style_ref.jpg"],"aspect_ratio":"4:5"}}</t>
  </si>
  <si>
    <t>f5a2472b0027e9bdb03b9e0ee7492035</t>
  </si>
  <si>
    <t>https://tempfile.aiquickdraw.com/images/chatgpt/file_00000000082471f598eb8043f40701e8.png</t>
  </si>
  <si>
    <t>1EgZXIi16Sv4Fsy2P1_pU6AHL6abBtQku</t>
  </si>
  <si>
    <t>https://drive.google.com/uc?id=1EgZXIi16Sv4Fsy2P1_pU6AHL6abBtQku</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</si>
  <si>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'VOCABULARY LISTS ARE THE KEY TO READING SCORES'
Visual scene: The girl stands at a bathroom mirror, flashcards taped in rows across the glass — hundreds of vocabulary words staring back at her. She's clearly been at this for weeks; some cards are curling at the edges. She looks determined but slightly glazed. In her hand is an SAT reading question — and it's not asking her to define a word. It's asking her to identify why an author shifted tone in paragraph three. The vocabulary wall behind her is impressively large and completely irrelevant to the question in her hand. The gap between what she prepared for and what the test actually asks is the whole story.
Insight line (bottom of poster): 'The new SAT tests how you read, not what you've memorized. The words are not the point.'
Reference the provided style image to maintain visual consistency in palette, illustration style, and layout.</t>
  </si>
  <si>
    <t>sat_myth_009</t>
  </si>
  <si>
    <t>Myth statement: 'SOME KIDS JUST AREN'T TEST TAKERS'
Visual scene: A swimming pool. A coach stands at the edge. Our girl is in the water, struggling to coordinate her stroke — arms and legs fighting each other, splashing inefficiently, clearly trying but not yet understanding the technique. The coach is watching with calm patience, not disappointment. On the scoreboard above the pool, her current lap time is slow. But clipped to the coach's clipboard is a series of earlier times — each one slightly faster than the last. The progress is real, just not finished. The myth says the struggle means she's not built for it. The image says she just hasn't been taught correctly yet.
Insight line (bottom of poster): 'No one is a natural test taker. Everyone who scores well was taught how.'</t>
  </si>
  <si>
    <t>Swimming pool metaphor is warm, hopeful, and coach-forward — aligns well with Athena's teacher identity. The clipboard of improving times is a quietly powerful detail. Counters a deeply held belief without being preachy.</t>
  </si>
  <si>
    <t>2026-07-15T14:20:49.668-07:00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</si>
  <si>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'SOME KIDS JUST AREN'T TEST TAKERS'\n\nVisual scene: A swimming pool. A coach stands at the edge. Our girl is in the water, struggling to coordinate her stroke — arms and legs fighting each other, splashing inefficiently, clearly trying but not yet understanding the technique. The coach is watching with calm patience, not disappointment. On the scoreboard above the pool, her current lap time is slow. But clipped to the coach's clipboard is a series of earlier times — each one slightly faster than the last. The progress is real, just not finished. The myth says the struggle means she's not built for it. The image says she just hasn't been taught correctly yet.\n\nInsight line (bottom of poster): 'No one is a natural test taker. Everyone who scores well was taught how.'\n\nReference the provided style image to maintain visual consistency in palette, illustration style, and layout.","input_urls":["https://tempfile.redpandaai.co/kieai/11402406/athena-refs/style_ref.jpg"],"aspect_ratio":"4:5"}}</t>
  </si>
  <si>
    <t>f6b626524bdd8f5d7b843415e7c030e5</t>
  </si>
  <si>
    <t>https://tempfile.aiquickdraw.com/images/chatgpt/file_00000000575471f5b4cc1d19999713e8.png</t>
  </si>
  <si>
    <t>1KGIdPh3dKlnuumvkcGkB4NdrN3-Ycf3k</t>
  </si>
  <si>
    <t>https://drive.google.com/uc?id=1KGIdPh3dKlnuumvkcGkB4NdrN3-Ycf3k</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</si>
  <si>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'SOME KIDS JUST AREN'T TEST TAKERS'
Visual scene: A swimming pool. A coach stands at the edge. Our girl is in the water, struggling to coordinate her stroke — arms and legs fighting each other, splashing inefficiently, clearly trying but not yet understanding the technique. The coach is watching with calm patience, not disappointment. On the scoreboard above the pool, her current lap time is slow. But clipped to the coach's clipboard is a series of earlier times — each one slightly faster than the last. The progress is real, just not finished. The myth says the struggle means she's not built for it. The image says she just hasn't been taught correctly yet.
Insight line (bottom of poster): 'No one is a natural test taker. Everyone who scores well was taught how.'
Reference the provided style image to maintain visual consistency in palette, illustration style, and layout.</t>
  </si>
  <si>
    <t>sat_myth_004</t>
  </si>
  <si>
    <t>Myth statement: 'MORE PRACTICE TESTS = HIGHER SCORES'. Visual scene: The girl is sitting at a kitchen table buried under an avalanche of crumpled practice tests, pencils scattered everywhere, empty juice glasses stacked to one side. She has dark circles under her eyes and is staring blankly at yet another fresh test booklet she just picked up — her hand hovering over question one, frozen. The tests form a literal mountain around her, some slipping off the table onto the floor. A clock on the wall behind her shows 11:47 PM. The pile is so tall it partially obscures her face, leaving only her exhausted eyes visible. The scene should feel like someone digging a hole deeper instead of climbing out of it. Insight line at the bottom: 'Repeating the same test without understanding your mistakes is just practicing being stuck.'</t>
  </si>
  <si>
    <t>Visually concrete and emotionally resonant — exhausted teen buried in tests is immediately recognizable to parents. Insight reframes effort vs. strategy without feeling preachy. Fresh angle on a real behavior trap.</t>
  </si>
  <si>
    <t>2026-07-15T16:49:17.321-07:00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</si>
  <si>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'MORE PRACTICE TESTS = HIGHER SCORES'. Visual scene: The girl is sitting at a kitchen table buried under an avalanche of crumpled practice tests, pencils scattered everywhere, empty juice glasses stacked to one side. She has dark circles under her eyes and is staring blankly at yet another fresh test booklet she just picked up — her hand hovering over question one, frozen. The tests form a literal mountain around her, some slipping off the table onto the floor. A clock on the wall behind her shows 11:47 PM. The pile is so tall it partially obscures her face, leaving only her exhausted eyes visible. The scene should feel like someone digging a hole deeper instead of climbing out of it. Insight line at the bottom: 'Repeating the same test without understanding your mistakes is just practicing being stuck.'\n\nReference the provided style image to maintain visual consistency in palette, illustration style, and layout.","input_urls":["https://tempfile.redpandaai.co/kieai/11402406/athena-refs/style_ref.jpg"],"aspect_ratio":"4:5"}}</t>
  </si>
  <si>
    <t>7821267b4c68190407e2317ef8c0849c</t>
  </si>
  <si>
    <t>https://tempfile.aiquickdraw.com/images/chatgpt/file_0000000015f071f595119d98a1e2bf2b.png</t>
  </si>
  <si>
    <t>1ytQiJJXh4295OKriw7M2JDmescijXyUY</t>
  </si>
  <si>
    <t>https://drive.google.com/uc?id=1ytQiJJXh4295OKriw7M2JDmescijXyUY</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</si>
  <si>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'MORE PRACTICE TESTS = HIGHER SCORES'. Visual scene: The girl is sitting at a kitchen table buried under an avalanche of crumpled practice tests, pencils scattered everywhere, empty juice glasses stacked to one side. She has dark circles under her eyes and is staring blankly at yet another fresh test booklet she just picked up — her hand hovering over question one, frozen. The tests form a literal mountain around her, some slipping off the table onto the floor. A clock on the wall behind her shows 11:47 PM. The pile is so tall it partially obscures her face, leaving only her exhausted eyes visible. The scene should feel like someone digging a hole deeper instead of climbing out of it. Insight line at the bottom: 'Repeating the same test without understanding your mistakes is just practicing being stuck.'
Reference the provided style image to maintain visual consistency in palette, illustration style, and layout.</t>
  </si>
  <si>
    <t>bt_001</t>
  </si>
  <si>
    <t>Puzzle: A sequence of numbers is shown: 2, 6, 12, 20, 30, ___. The question asks: what number comes next? A dashed line sits below with a large orange question mark. Answer: 42. The pattern is n × (n+1) — so 1×2, 2×3, 3×4, 4×5, 5×6, 6×7. The green oval at the bottom reads: 'Find the pattern.' The Beagle sits at the bottom left staring up at the sequence with wide eyes and a thought bubble showing a tiny question mark.</t>
  </si>
  <si>
    <t>Clean visual sequence, pattern-recognition framing is concrete, Beagle reaction adds charm without overselling, fresh enough for SAT context</t>
  </si>
  <si>
    <t>2026-07-15T17:36:03.422-07:00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</si>
  <si>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sequence of numbers is shown: 2, 6, 12, 20, 30, ___. The question asks: what number comes next? A dashed line sits below with a large orange question mark. Answer: 42. The pattern is n × (n+1) — so 1×2, 2×3, 3×4, 4×5, 5×6, 6×7. The green oval at the bottom reads: 'Find the pattern.' The Beagle sits at the bottom left staring up at the sequence with wide eyes and a thought bubble showing a tiny question mark.\n\nReference the provided style image to maintain visual consistency in palette, illustration style, and layout.","input_urls":["https://tempfile.redpandaai.co/kieai/11402406/athena-refs/style_ref.jpg"],"aspect_ratio":"4:5"}}</t>
  </si>
  <si>
    <t>b56a3f990ac9a3b16152d7c5bf87de1d</t>
  </si>
  <si>
    <t>https://tempfile.aiquickdraw.com/images/chatgpt/file_000000000c3471f584d4c90493ed0a04.png</t>
  </si>
  <si>
    <t>1Ur12ZOQunHUze7V2SnkQ_9n8vnX4bwcC</t>
  </si>
  <si>
    <t>https://drive.google.com/uc?id=1Ur12ZOQunHUze7V2SnkQ_9n8vnX4bwcC</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</si>
  <si>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sequence of numbers is shown: 2, 6, 12, 20, 30, ___. The question asks: what number comes next? A dashed line sits below with a large orange question mark. Answer: 42. The pattern is n × (n+1) — so 1×2, 2×3, 3×4, 4×5, 5×6, 6×7. The green oval at the bottom reads: 'Find the pattern.' The Beagle sits at the bottom left staring up at the sequence with wide eyes and a thought bubble showing a tiny question mark.
Reference the provided style image to maintain visual consistency in palette, illustration style, and layout.</t>
  </si>
  <si>
    <t>bt_002</t>
  </si>
  <si>
    <t>Puzzle: A word problem reads — 'A store marks up a jacket by 40%, then puts it on sale for 20% off. Is the final price higher, lower, or the same as the original?' Three answer options are shown: (A) Higher, (B) Lower, (C) Same. A dashed line below with a large orange question mark. Answer: (B) Lower — but only by 12%, not 20%. Most people instinctively cancel out the two percentages and pick (C). The green oval reads: 'Classic SAT trap.' The Beagle has dollar-sign doodles floating around its head in the thought bubble.</t>
  </si>
  <si>
    <t>Percentage trap is a genuine SAT pitfall, visually renderable with three answer options and Beagle reaction, resonates with students who fall for intuitive but wrong answers</t>
  </si>
  <si>
    <t>2026-07-15T17:36:03.426-07:00</t>
  </si>
  <si>
    <t>bt_004</t>
  </si>
  <si>
    <t>Puzzle: The puzzle reads — 'If you add my digits together, you get 9. I am a two-digit even number. I am greater than 50. What am I?' A dashed line below with a large orange question mark. Answer: 72 (7+2=9, even, greater than 50). Other candidates like 90 fail because 9+0=9 but 90 is also valid — so a second dashed line reveals both 72 and 90 as correct, rewarding students who find multiple solutions. The green oval reads: 'Can you solve it?' The Beagle has two thought bubbles — one with 72, one with 90 — looking proud.</t>
  </si>
  <si>
    <t>Multi-answer twist is genuinely surprising and teaches SAT test-taking discipline; two Beagle thought bubbles make the visual distinct and the lesson about checking all solutions is fresh</t>
  </si>
  <si>
    <t>2026-07-15T17:36:03.429-07:00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</si>
  <si>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The puzzle reads — 'If you add my digits together, you get 9. I am a two-digit even number. I am greater than 50. What am I?' A dashed line below with a large orange question mark. Answer: 72 (7+2=9, even, greater than 50). Other candidates like 90 fail because 9+0=9 but 90 is also valid — so a second dashed line reveals both 72 and 90 as correct, rewarding students who find multiple solutions. The green oval reads: 'Can you solve it?' The Beagle has two thought bubbles — one with 72, one with 90 — looking proud.\n\nReference the provided style image to maintain visual consistency in palette, illustration style, and layout.","input_urls":["https://tempfile.redpandaai.co/kieai/11402406/athena-refs/style_ref.jpg"],"aspect_ratio":"4:5"}}</t>
  </si>
  <si>
    <t>0ee22dec8090d2b7a891c5c7be38db1f</t>
  </si>
  <si>
    <t>https://tempfile.aiquickdraw.com/images/chatgpt/file_00000000defc71f5a97943ab322cd9ab.png</t>
  </si>
  <si>
    <t>1ojBIubLRe57p05nJAOfdns2jpiD4VQ63</t>
  </si>
  <si>
    <t>https://drive.google.com/uc?id=1ojBIubLRe57p05nJAOfdns2jpiD4VQ63</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</si>
  <si>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The puzzle reads — 'If you add my digits together, you get 9. I am a two-digit even number. I am greater than 50. What am I?' A dashed line below with a large orange question mark. Answer: 72 (7+2=9, even, greater than 50). Other candidates like 90 fail because 9+0=9 but 90 is also valid — so a second dashed line reveals both 72 and 90 as correct, rewarding students who find multiple solutions. The green oval reads: 'Can you solve it?' The Beagle has two thought bubbles — one with 72, one with 90 — looking proud.
Reference the provided style image to maintain visual consistency in palette, illustration style, and layout.</t>
  </si>
  <si>
    <t>bt_005</t>
  </si>
  <si>
    <t>Puzzle: A visual triangle is drawn. The three sides are labeled: one side = x + 3, another side = 2x − 1, the third side = 10. The total perimeter is labeled as 24. The question asks: what is x? A dashed line below with a large orange question mark. Answer: x = 4. Setup: (x+3) + (2x−1) + 10 = 24 → 3x + 12 = 24 → 3x = 12 → x = 4. The green oval reads: 'Think carefully.' The Beagle is shown sitting beside the triangle with a tiny ruler, as if measuring the sides.</t>
  </si>
  <si>
    <t>Concrete triangle with labeled sides is easy to render, algebra setup mirrors real SAT question style, Beagle with ruler is charming without being gimmicky</t>
  </si>
  <si>
    <t>2026-07-15T17:36:03.431-07:00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</si>
  <si>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visual triangle is drawn. The three sides are labeled: one side = x + 3, another side = 2x − 1, the third side = 10. The total perimeter is labeled as 24. The question asks: what is x? A dashed line below with a large orange question mark. Answer: x = 4. Setup: (x+3) + (2x−1) + 10 = 24 → 3x + 12 = 24 → 3x = 12 → x = 4. The green oval reads: 'Think carefully.' The Beagle is shown sitting beside the triangle with a tiny ruler, as if measuring the sides.\n\nReference the provided style image to maintain visual consistency in palette, illustration style, and layout.","input_urls":["https://tempfile.redpandaai.co/kieai/11402406/athena-refs/style_ref.jpg"],"aspect_ratio":"4:5"}}</t>
  </si>
  <si>
    <t>0b6e850b5eb55cc1f05ae9f04ba66d56</t>
  </si>
  <si>
    <t>https://tempfile.aiquickdraw.com/images/chatgpt/file_000000003fd071f6bc8aacae61f22abd.png</t>
  </si>
  <si>
    <t>1DuNK1hvj6hiqW9cGaCR-G1wC_doeCnyV</t>
  </si>
  <si>
    <t>https://drive.google.com/uc?id=1DuNK1hvj6hiqW9cGaCR-G1wC_doeCnyV</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</si>
  <si>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visual triangle is drawn. The three sides are labeled: one side = x + 3, another side = 2x − 1, the third side = 10. The total perimeter is labeled as 24. The question asks: what is x? A dashed line below with a large orange question mark. Answer: x = 4. Setup: (x+3) + (2x−1) + 10 = 24 → 3x + 12 = 24 → 3x = 12 → x = 4. The green oval reads: 'Think carefully.' The Beagle is shown sitting beside the triangle with a tiny ruler, as if measuring the sides.
Reference the provided style image to maintain visual consistency in palette, illustration style, and layout.</t>
  </si>
  <si>
    <t>bt_007</t>
  </si>
  <si>
    <t>Puzzle: A number line is shown with two points marked: Point A is at −3 and Point B is at 5. The question reads: 'Point C is exactly halfway between A and B. Point D is twice as far from zero as Point C. What is the value of D?' A dashed line below with a large orange question mark. Answer: D = 2. Midpoint of −3 and 5 is 1, so C = 1. Twice as far from zero = 2. The green oval reads: 'Classic SAT trap.' The Beagle is shown standing on a tiny number line drawn on the ground, one paw hovering over the midpoint.</t>
  </si>
  <si>
    <t>Number line is visually concrete, two-step reasoning mirrors SAT multi-part traps, midpoint confusion is a real student error worth surfacing</t>
  </si>
  <si>
    <t>2026-07-15T17:36:03.435-07:00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</si>
  <si>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number line is shown with two points marked: Point A is at −3 and Point B is at 5. The question reads: 'Point C is exactly halfway between A and B. Point D is twice as far from zero as Point C. What is the value of D?' A dashed line below with a large orange question mark. Answer: D = 2. Midpoint of −3 and 5 is 1, so C = 1. Twice as far from zero = 2. The green oval reads: 'Classic SAT trap.' The Beagle is shown standing on a tiny number line drawn on the ground, one paw hovering over the midpoint.\n\nReference the provided style image to maintain visual consistency in palette, illustration style, and layout.","input_urls":["https://tempfile.redpandaai.co/kieai/11402406/athena-refs/style_ref.jpg"],"aspect_ratio":"4:5"}}</t>
  </si>
  <si>
    <t>0c46713b8092aa1ce96e37c76474a980</t>
  </si>
  <si>
    <t>https://tempfile.aiquickdraw.com/images/chatgpt/file_00000000e6e471f68f41dc58836b90fb.png</t>
  </si>
  <si>
    <t>1X0hT5NlDkBvTNS_WOStaX30kWNOWYP9D</t>
  </si>
  <si>
    <t>https://drive.google.com/uc?id=1X0hT5NlDkBvTNS_WOStaX30kWNOWYP9D</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</si>
  <si>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number line is shown with two points marked: Point A is at −3 and Point B is at 5. The question reads: 'Point C is exactly halfway between A and B. Point D is twice as far from zero as Point C. What is the value of D?' A dashed line below with a large orange question mark. Answer: D = 2. Midpoint of −3 and 5 is 1, so C = 1. Twice as far from zero = 2. The green oval reads: 'Classic SAT trap.' The Beagle is shown standing on a tiny number line drawn on the ground, one paw hovering over the midpoint.
Reference the provided style image to maintain visual consistency in palette, illustration style, and layout.</t>
  </si>
  <si>
    <t>bt_008</t>
  </si>
  <si>
    <t>Puzzle: A short logic puzzle reads — 'There are 5 students in a class. Every student shakes hands with every other student exactly once. How many handshakes happen total?' A dashed line below with a large orange question mark. Answer: 10. This is the combination formula C(5,2) = 10. Most students multiply 5×4 and get 20, forgetting each handshake is shared between two people. The green oval reads: 'Classic SAT trap.' The Beagle is shown with tiny drawn hands on its paws, reaching out to shake with a stick-figure student.</t>
  </si>
  <si>
    <t>Handshake problem is a classic combinatorics trap that genuinely appears in SAT-style reasoning, the double-counting mistake is relatable, Beagle visual is distinctive</t>
  </si>
  <si>
    <t>2026-07-15T17:36:03.437-07:00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</si>
  <si>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short logic puzzle reads — 'There are 5 students in a class. Every student shakes hands with every other student exactly once. How many handshakes happen total?' A dashed line below with a large orange question mark. Answer: 10. This is the combination formula C(5,2) = 10. Most students multiply 5×4 and get 20, forgetting each handshake is shared between two people. The green oval reads: 'Classic SAT trap.' The Beagle is shown with tiny drawn hands on its paws, reaching out to shake with a stick-figure student.\n\nReference the provided style image to maintain visual consistency in palette, illustration style, and layout.","input_urls":["https://tempfile.redpandaai.co/kieai/11402406/athena-refs/style_ref.jpg"],"aspect_ratio":"4:5"}}</t>
  </si>
  <si>
    <t>1d485fcf294d7f76ef4eb253567c262e</t>
  </si>
  <si>
    <t>https://tempfile.aiquickdraw.com/images/chatgpt/file_000000004ad471f596f04c75d1752262.png</t>
  </si>
  <si>
    <t>1qoJNYYcQOcAyYXvqpK9g7vbYnKjREQzq</t>
  </si>
  <si>
    <t>https://drive.google.com/uc?id=1qoJNYYcQOcAyYXvqpK9g7vbYnKjREQzq</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</si>
  <si>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short logic puzzle reads — 'There are 5 students in a class. Every student shakes hands with every other student exactly once. How many handshakes happen total?' A dashed line below with a large orange question mark. Answer: 10. This is the combination formula C(5,2) = 10. Most students multiply 5×4 and get 20, forgetting each handshake is shared between two people. The green oval reads: 'Classic SAT trap.' The Beagle is shown with tiny drawn hands on its paws, reaching out to shake with a stick-figure student.
Reference the provided style image to maintain visual consistency in palette, illustration style, and layout.</t>
  </si>
  <si>
    <t>bt_010</t>
  </si>
  <si>
    <t>Puzzle: A percentage word problem reads — 'Maya scored 75% on a test with 40 questions. Ben scored 80% on a test with 30 questions. Who got more questions correct?' A dashed line below with a large orange question mark. Answer: Maya. Maya got 0.75 × 40 = 30 correct. Ben got 0.80 × 30 = 24 correct. The trap is assuming the higher percentage means more correct answers — but the total number of questions changes everything. The green oval reads: 'Classic SAT trap.' The Beagle is shown holding two tiny report cards, one in each paw, looking back and forth with a surprised expression.</t>
  </si>
  <si>
    <t>Percentage vs absolute value trap is highly SAT-relevant, Maya vs Ben framing is relatable and human, Beagle with two report cards is visually clear and the lesson is immediately applicable</t>
  </si>
  <si>
    <t>2026-07-15T17:36:03.441-07:00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</si>
  <si>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percentage word problem reads — 'Maya scored 75% on a test with 40 questions. Ben scored 80% on a test with 30 questions. Who got more questions correct?' A dashed line below with a large orange question mark. Answer: Maya. Maya got 0.75 × 40 = 30 correct. Ben got 0.80 × 30 = 24 correct. The trap is assuming the higher percentage means more correct answers — but the total number of questions changes everything. The green oval reads: 'Classic SAT trap.' The Beagle is shown holding two tiny report cards, one in each paw, looking back and forth with a surprised expression.\n\nReference the provided style image to maintain visual consistency in palette, illustration style, and layout.","input_urls":["https://tempfile.redpandaai.co/kieai/11402406/athena-refs/style_ref.jpg"],"aspect_ratio":"4:5"}}</t>
  </si>
  <si>
    <t>6035f584fe52acec85be52f55ad1dad9</t>
  </si>
  <si>
    <t>https://tempfile.aiquickdraw.com/images/chatgpt/file_00000000a90471f59dde1204d0f49325.png</t>
  </si>
  <si>
    <t>1bnLhXbz_5EBH3Kofl6YsdlRA72OaN229</t>
  </si>
  <si>
    <t>https://drive.google.com/uc?id=1bnLhXbz_5EBH3Kofl6YsdlRA72OaN229</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</si>
  <si>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percentage word problem reads — 'Maya scored 75% on a test with 40 questions. Ben scored 80% on a test with 30 questions. Who got more questions correct?' A dashed line below with a large orange question mark. Answer: Maya. Maya got 0.75 × 40 = 30 correct. Ben got 0.80 × 30 = 24 correct. The trap is assuming the higher percentage means more correct answers — but the total number of questions changes everything. The green oval reads: 'Classic SAT trap.' The Beagle is shown holding two tiny report cards, one in each paw, looking back and forth with a surprised expression.
Reference the provided style image to maintain visual consistency in palette, illustration style, and layout.</t>
  </si>
  <si>
    <t>comic_001</t>
  </si>
  <si>
    <t>Title banner: 'SAT LOGIC — The Process of Elimination'
Panel 1 (Setup): Beagle sits at his desk, pencil raised confidently, looking at a multiple choice question. Four answer bubbles visible on the page. His expression: total confidence. Thought bubble: 'OKAY. I GOT THIS.'
Panel 2 (Escalation): Beagle crosses out answer A with a big dramatic X. Then crosses out answer B. He's grinning, ears perked. Caption box: 'TWO DOWN.'
Panel 3 (Hiccup): Beagle stares at C and D. Both look equally plausible to him. His eyes dart left and right between them. Sweat drop on forehead. The confident grin is gone.
Panel 4 (Pivot): Athena leans in from the side of the frame, calm. She points at nothing in particular. Her line: 'WHAT DOES THE QUESTION ACTUALLY ASK?'
Panel 5 (Beat): Beagle looks back down at the question. Reads it again. His ears droop slowly. He mouths the words silently. Long pause implied by the empty white space around him.
Panel 6 (Punchline): Beagle has circled answer C. He is staring at the paper with a flat, knowing expression. No celebration. Small text below his nose: '...i eliminated the right one first.'</t>
  </si>
  <si>
    <t>Visually concrete, relatable mistake with a clean 6-panel arc. Athena feels like a calm coach, not a product. The punchline lands with self-aware humor parents and students will recognize.</t>
  </si>
  <si>
    <t>2026-07-15T17:38:05.128-07:00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</si>
  <si>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Process of Elimination'\n\nPanel 1 (Setup): Beagle sits at his desk, pencil raised confidently, looking at a multiple choice question. Four answer bubbles visible on the page. His expression: total confidence. Thought bubble: 'OKAY. I GOT THIS.'\n\nPanel 2 (Escalation): Beagle crosses out answer A with a big dramatic X. Then crosses out answer B. He's grinning, ears perked. Caption box: 'TWO DOWN.'\n\nPanel 3 (Hiccup): Beagle stares at C and D. Both look equally plausible to him. His eyes dart left and right between them. Sweat drop on forehead. The confident grin is gone.\n\nPanel 4 (Pivot): Athena leans in from the side of the frame, calm. She points at nothing in particular. Her line: 'WHAT DOES THE QUESTION ACTUALLY ASK?'\n\nPanel 5 (Beat): Beagle looks back down at the question. Reads it again. His ears droop slowly. He mouths the words silently. Long pause implied by the empty white space around him.\n\nPanel 6 (Punchline): Beagle has circled answer C. He is staring at the paper with a flat, knowing expression. No celebration. Small text below his nose: '...i eliminated the right one first.'\n\nReference the provided style image to maintain visual consistency in palette, illustration style, and layout.","input_urls":["https://tempfile.redpandaai.co/kieai/11402406/athena-refs/style_ref.jpg"],"aspect_ratio":"4:5"}}</t>
  </si>
  <si>
    <t>e4c6cd502a12e22edae1bf907b85e2c1</t>
  </si>
  <si>
    <t>https://tempfile.aiquickdraw.com/images/chatgpt/file_000000006d5871f5937b6f3b3c4bdcb1.png</t>
  </si>
  <si>
    <t>13HQN30YfvsyUTQ6hkODY9IaMv2_k9T0j</t>
  </si>
  <si>
    <t>https://drive.google.com/uc?id=13HQN30YfvsyUTQ6hkODY9IaMv2_k9T0j</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</si>
  <si>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Process of Elimination'
Panel 1 (Setup): Beagle sits at his desk, pencil raised confidently, looking at a multiple choice question. Four answer bubbles visible on the page. His expression: total confidence. Thought bubble: 'OKAY. I GOT THIS.'
Panel 2 (Escalation): Beagle crosses out answer A with a big dramatic X. Then crosses out answer B. He's grinning, ears perked. Caption box: 'TWO DOWN.'
Panel 3 (Hiccup): Beagle stares at C and D. Both look equally plausible to him. His eyes dart left and right between them. Sweat drop on forehead. The confident grin is gone.
Panel 4 (Pivot): Athena leans in from the side of the frame, calm. She points at nothing in particular. Her line: 'WHAT DOES THE QUESTION ACTUALLY ASK?'
Panel 5 (Beat): Beagle looks back down at the question. Reads it again. His ears droop slowly. He mouths the words silently. Long pause implied by the empty white space around him.
Panel 6 (Punchline): Beagle has circled answer C. He is staring at the paper with a flat, knowing expression. No celebration. Small text below his nose: '...i eliminated the right one first.'
Reference the provided style image to maintain visual consistency in palette, illustration style, and layout.</t>
  </si>
  <si>
    <t>comic_002</t>
  </si>
  <si>
    <t>Title banner: 'SAT LOGIC — Reading Comprehension'
Panel 1 (Setup): Beagle holds up a thick SAT reading passage. His expression is bright and ready. The passage is titled 'EXCERPT: 19TH CENTURY TRADE ECONOMICS.' He has a highlighter in one paw.
Panel 2 (Escalation): He begins highlighting. One line. Then another. Then a whole paragraph. His highlighter is moving fast. He looks very busy and productive.
Panel 3 (Hiccup): Pull back to show the entire passage is now highlighted in yellow. Every single line. Beagle holds it up and stares. It is a glowing yellow rectangle.
Panel 4 (Pivot): Athena appears beside him, glancing at the passage. She asks simply: 'WHAT WAS IT ABOUT?'
Panel 5 (Beat): Beagle opens his mouth. Closes it. Looks at the passage. Looks back at Athena. His ears go flat. His eyes go distant. A tiny bead of sweat.
Panel 6 (Punchline): Beagle is sitting very still, highlighter capped, passage face-down on the desk. Small text near his ear: '...trade. probably.'</t>
  </si>
  <si>
    <t>The all-yellow highlighted page is a strong visual gag. Universally relatable student behavior. Athena's single question reframes the habit without lecturing. Fresh execution of a common problem.</t>
  </si>
  <si>
    <t>2026-07-15T17:38:05.131-07:00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</si>
  <si>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Reading Comprehension'\n\nPanel 1 (Setup): Beagle holds up a thick SAT reading passage. His expression is bright and ready. The passage is titled 'EXCERPT: 19TH CENTURY TRADE ECONOMICS.' He has a highlighter in one paw.\n\nPanel 2 (Escalation): He begins highlighting. One line. Then another. Then a whole paragraph. His highlighter is moving fast. He looks very busy and productive.\n\nPanel 3 (Hiccup): Pull back to show the entire passage is now highlighted in yellow. Every single line. Beagle holds it up and stares. It is a glowing yellow rectangle.\n\nPanel 4 (Pivot): Athena appears beside him, glancing at the passage. She asks simply: 'WHAT WAS IT ABOUT?'\n\nPanel 5 (Beat): Beagle opens his mouth. Closes it. Looks at the passage. Looks back at Athena. His ears go flat. His eyes go distant. A tiny bead of sweat.\n\nPanel 6 (Punchline): Beagle is sitting very still, highlighter capped, passage face-down on the desk. Small text near his ear: '...trade. probably.'\n\nReference the provided style image to maintain visual consistency in palette, illustration style, and layout.","input_urls":["https://tempfile.redpandaai.co/kieai/11402406/athena-refs/style_ref.jpg"],"aspect_ratio":"4:5"}}</t>
  </si>
  <si>
    <t>c7373c1ac026012bd3930d82b7346872</t>
  </si>
  <si>
    <t>https://tempfile.aiquickdraw.com/images/chatgpt/file_00000000c7e4722fa1b44bf5db112632.png</t>
  </si>
  <si>
    <t>1keo6_y6jTvWaHMW9FNIqpJdrccQLMDOy</t>
  </si>
  <si>
    <t>https://drive.google.com/uc?id=1keo6_y6jTvWaHMW9FNIqpJdrccQLMDOy</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</si>
  <si>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Reading Comprehension'
Panel 1 (Setup): Beagle holds up a thick SAT reading passage. His expression is bright and ready. The passage is titled 'EXCERPT: 19TH CENTURY TRADE ECONOMICS.' He has a highlighter in one paw.
Panel 2 (Escalation): He begins highlighting. One line. Then another. Then a whole paragraph. His highlighter is moving fast. He looks very busy and productive.
Panel 3 (Hiccup): Pull back to show the entire passage is now highlighted in yellow. Every single line. Beagle holds it up and stares. It is a glowing yellow rectangle.
Panel 4 (Pivot): Athena appears beside him, glancing at the passage. She asks simply: 'WHAT WAS IT ABOUT?'
Panel 5 (Beat): Beagle opens his mouth. Closes it. Looks at the passage. Looks back at Athena. His ears go flat. His eyes go distant. A tiny bead of sweat.
Panel 6 (Punchline): Beagle is sitting very still, highlighter capped, passage face-down on the desk. Small text near his ear: '...trade. probably.'
Reference the provided style image to maintain visual consistency in palette, illustration style, and layout.</t>
  </si>
  <si>
    <t>comic_003</t>
  </si>
  <si>
    <t>Title banner: 'SAT LOGIC — Time Management'
Panel 1 (Setup): Beagle sits at his desk with a brand new analog clock on the wall behind him. He cracks his knuckles, test in front of him. Expression: business-like. Caption: 'SECTION 1. 27 MINUTES.'
Panel 2 (Escalation): He reads question 1. Narrows his eyes. Underlines a word. Writes a note in the margin. He is being very thorough. The clock shows 3 minutes have passed.
Panel 3 (Hiccup): Wide shot. Clock now shows 19 minutes have passed. Beagle is still on question 1. His margin notes now cover the entire white space around the question. The page looks like a conspiracy board.
Panel 4 (Pivot): Athena taps the desk once, gently. She says: 'HOW MANY QUESTIONS LEFT?'
Panel 5 (Beat): Beagle slowly turns the page. Then the next page. His eyes widen incrementally with each turn. The stack of remaining questions is very tall. Clock in background: 6 minutes left.
Panel 6 (Punchline): Beagle is hunched over the test, pencil moving in frantic circles, filling in bubbles rapidly with eyes half-closed. Small text floating above his head: '...c. all c.'</t>
  </si>
  <si>
    <t>Clock on the wall gives a clear visual anchor for each panel. The conspiracy-board margin and final bubble-filling frenzy are both funny and painfully accurate. Strong punchline.</t>
  </si>
  <si>
    <t>2026-07-15T17:38:05.133-07:00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</si>
  <si>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Time Management'\n\nPanel 1 (Setup): Beagle sits at his desk with a brand new analog clock on the wall behind him. He cracks his knuckles, test in front of him. Expression: business-like. Caption: 'SECTION 1. 27 MINUTES.'\n\nPanel 2 (Escalation): He reads question 1. Narrows his eyes. Underlines a word. Writes a note in the margin. He is being very thorough. The clock shows 3 minutes have passed.\n\nPanel 3 (Hiccup): Wide shot. Clock now shows 19 minutes have passed. Beagle is still on question 1. His margin notes now cover the entire white space around the question. The page looks like a conspiracy board.\n\nPanel 4 (Pivot): Athena taps the desk once, gently. She says: 'HOW MANY QUESTIONS LEFT?'\n\nPanel 5 (Beat): Beagle slowly turns the page. Then the next page. His eyes widen incrementally with each turn. The stack of remaining questions is very tall. Clock in background: 6 minutes left.\n\nPanel 6 (Punchline): Beagle is hunched over the test, pencil moving in frantic circles, filling in bubbles rapidly with eyes half-closed. Small text floating above his head: '...c. all c.'\n\nReference the provided style image to maintain visual consistency in palette, illustration style, and layout.","input_urls":["https://tempfile.redpandaai.co/kieai/11402406/athena-refs/style_ref.jpg"],"aspect_ratio":"4:5"}}</t>
  </si>
  <si>
    <t>b9cc0d03b18ecf1149d402decaf267b3</t>
  </si>
  <si>
    <t>https://tempfile.aiquickdraw.com/images/chatgpt/file_00000000274471f595e9083061fa151a.png</t>
  </si>
  <si>
    <t>1vbLKasCrw13RGFBdXU8_UrWazvq71aT-</t>
  </si>
  <si>
    <t>https://drive.google.com/uc?id=1vbLKasCrw13RGFBdXU8_UrWazvq71aT-</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</si>
  <si>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Time Management'
Panel 1 (Setup): Beagle sits at his desk with a brand new analog clock on the wall behind him. He cracks his knuckles, test in front of him. Expression: business-like. Caption: 'SECTION 1. 27 MINUTES.'
Panel 2 (Escalation): He reads question 1. Narrows his eyes. Underlines a word. Writes a note in the margin. He is being very thorough. The clock shows 3 minutes have passed.
Panel 3 (Hiccup): Wide shot. Clock now shows 19 minutes have passed. Beagle is still on question 1. His margin notes now cover the entire white space around the question. The page looks like a conspiracy board.
Panel 4 (Pivot): Athena taps the desk once, gently. She says: 'HOW MANY QUESTIONS LEFT?'
Panel 5 (Beat): Beagle slowly turns the page. Then the next page. His eyes widen incrementally with each turn. The stack of remaining questions is very tall. Clock in background: 6 minutes left.
Panel 6 (Punchline): Beagle is hunched over the test, pencil moving in frantic circles, filling in bubbles rapidly with eyes half-closed. Small text floating above his head: '...c. all c.'
Reference the provided style image to maintain visual consistency in palette, illustration style, and layout.</t>
  </si>
  <si>
    <t>comic_004</t>
  </si>
  <si>
    <t>Title banner: 'SAT LOGIC — Vocabulary in Context'
Panel 1 (Setup): Beagle is reading a passage. He hits a word he does not know. The word is circled in the text: 'EPHEMERAL.' His expression is unbothered. He thinks: 'I KNOW THIS ONE.'
Panel 2 (Escalation): Confident, he glances at the answer choices. He picks the one that 'sounds right.' He circles it quickly and moves on, tail wagging slightly.
Panel 3 (Hiccup): He gets the test back. That question has a red X. He stares at it. Looks at the word again. Looks at the definition printed next to the X. His ear twitches.
Panel 4 (Pivot): Athena sits across from him with the passage open. She asks: 'WHAT DID THE SENTENCE AROUND IT SAY?'
Panel 5 (Beat): Beagle reads the sentence. Then the sentence before. Then the one after. His paw moves slowly under each line. His expression shifts from defensive to quiet. His pencil taps the desk once.
Panel 6 (Punchline): Beagle is looking at the word 'EPHEMERAL' with new, resigned eyes. He writes the real definition in tiny letters in the margin. Small text near his paw: '...the sentence told me the whole time.'</t>
  </si>
  <si>
    <t>Context-clue lesson wrapped in a character moment. The red X reveal and the quiet shift in Beagle's expression give this emotional honesty. Athena's role is pedagogically sound and unobtrusive.</t>
  </si>
  <si>
    <t>2026-07-15T17:38:05.136-07:00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</si>
  <si>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Vocabulary in Context'\n\nPanel 1 (Setup): Beagle is reading a passage. He hits a word he does not know. The word is circled in the text: 'EPHEMERAL.' His expression is unbothered. He thinks: 'I KNOW THIS ONE.'\n\nPanel 2 (Escalation): Confident, he glances at the answer choices. He picks the one that 'sounds right.' He circles it quickly and moves on, tail wagging slightly.\n\nPanel 3 (Hiccup): He gets the test back. That question has a red X. He stares at it. Looks at the word again. Looks at the definition printed next to the X. His ear twitches.\n\nPanel 4 (Pivot): Athena sits across from him with the passage open. She asks: 'WHAT DID THE SENTENCE AROUND IT SAY?'\n\nPanel 5 (Beat): Beagle reads the sentence. Then the sentence before. Then the one after. His paw moves slowly under each line. His expression shifts from defensive to quiet. His pencil taps the desk once.\n\nPanel 6 (Punchline): Beagle is looking at the word 'EPHEMERAL' with new, resigned eyes. He writes the real definition in tiny letters in the margin. Small text near his paw: '...the sentence told me the whole time.'\n\nReference the provided style image to maintain visual consistency in palette, illustration style, and layout.","input_urls":["https://tempfile.redpandaai.co/kieai/11402406/athena-refs/style_ref.jpg"],"aspect_ratio":"4:5"}}</t>
  </si>
  <si>
    <t>b1eb49ae01a699f6aaf1d5648f8800a7</t>
  </si>
  <si>
    <t>https://tempfile.aiquickdraw.com/images/chatgpt/file_000000000500722f9a09e159e69e0aa3.png</t>
  </si>
  <si>
    <t>1oJpskGqO0DDMVakAG9VavjIaRVe9CjbS</t>
  </si>
  <si>
    <t>https://drive.google.com/uc?id=1oJpskGqO0DDMVakAG9VavjIaRVe9CjbS</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</si>
  <si>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Vocabulary in Context'
Panel 1 (Setup): Beagle is reading a passage. He hits a word he does not know. The word is circled in the text: 'EPHEMERAL.' His expression is unbothered. He thinks: 'I KNOW THIS ONE.'
Panel 2 (Escalation): Confident, he glances at the answer choices. He picks the one that 'sounds right.' He circles it quickly and moves on, tail wagging slightly.
Panel 3 (Hiccup): He gets the test back. That question has a red X. He stares at it. Looks at the word again. Looks at the definition printed next to the X. His ear twitches.
Panel 4 (Pivot): Athena sits across from him with the passage open. She asks: 'WHAT DID THE SENTENCE AROUND IT SAY?'
Panel 5 (Beat): Beagle reads the sentence. Then the sentence before. Then the one after. His paw moves slowly under each line. His expression shifts from defensive to quiet. His pencil taps the desk once.
Panel 6 (Punchline): Beagle is looking at the word 'EPHEMERAL' with new, resigned eyes. He writes the real definition in tiny letters in the margin. Small text near his paw: '...the sentence told me the whole time.'
Reference the provided style image to maintain visual consistency in palette, illustration style, and layout.</t>
  </si>
  <si>
    <t>comic_005</t>
  </si>
  <si>
    <t>Title banner: 'SAT LOGIC — The Night Before'
Panel 1 (Setup): Beagle sits at his desk at 11pm. Stack of SAT prep books towers beside him. A full glass of water, a snack, sticky notes everywhere. He looks energized. Caption: 'TEST IS TOMORROW. PLENTY OF TIME.'
Panel 2 (Escalation): He opens a math review book to chapter 1. Then decides he should review grammar first. Grabs that book. Then remembers reading strategies. Opens that one too. Three books open simultaneously, none of them being read.
Panel 3 (Hiccup): Clock on wall: 1:47am. Beagle is face-down on the open books, one paw still holding a highlighter. All three books still open. The sticky notes have fallen everywhere. A half-eaten snack beside him.
Panel 4 (Pivot): Athena appears in the doorway, calm, holding a glass of water. She says nothing except: 'WHEN IS THE TEST?'
Panel 5 (Beat): Beagle lifts his head slowly. One sticky note is attached to his ear. He looks at the clock. Looks at the books. Closes them one by one, very quietly.
Panel 6 (Punchline): Beagle is lying in bed, eyes open, staring at the ceiling, still wearing his green collar. Small text above him in the dark: '...i should have done this tuesday.'</t>
  </si>
  <si>
    <t>Night-before panic is universally resonant for parents especially. Three open books and the sticky note on the ear are strong visual beats. The ceiling-stare final panel is quietly devastating in the right way.</t>
  </si>
  <si>
    <t>2026-07-15T17:38:05.139-07:00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</si>
  <si>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Night Before'\n\nPanel 1 (Setup): Beagle sits at his desk at 11pm. Stack of SAT prep books towers beside him. A full glass of water, a snack, sticky notes everywhere. He looks energized. Caption: 'TEST IS TOMORROW. PLENTY OF TIME.'\n\nPanel 2 (Escalation): He opens a math review book to chapter 1. Then decides he should review grammar first. Grabs that book. Then remembers reading strategies. Opens that one too. Three books open simultaneously, none of them being read.\n\nPanel 3 (Hiccup): Clock on wall: 1:47am. Beagle is face-down on the open books, one paw still holding a highlighter. All three books still open. The sticky notes have fallen everywhere. A half-eaten snack beside him.\n\nPanel 4 (Pivot): Athena appears in the doorway, calm, holding a glass of water. She says nothing except: 'WHEN IS THE TEST?'\n\nPanel 5 (Beat): Beagle lifts his head slowly. One sticky note is attached to his ear. He looks at the clock. Looks at the books. Closes them one by one, very quietly.\n\nPanel 6 (Punchline): Beagle is lying in bed, eyes open, staring at the ceiling, still wearing his green collar. Small text above him in the dark: '...i should have done this tuesday.'\n\nReference the provided style image to maintain visual consistency in palette, illustration style, and layout.","input_urls":["https://tempfile.redpandaai.co/kieai/11402406/athena-refs/style_ref.jpg"],"aspect_ratio":"4:5"}}</t>
  </si>
  <si>
    <t>1710de6dcbdc94c8fc5df13d65567b8e</t>
  </si>
  <si>
    <t>https://tempfile.aiquickdraw.com/images/chatgpt/file_000000004124722fbe3e9127f1c08987.png</t>
  </si>
  <si>
    <t>1IJVRtWx-6xfiYnJ_w0QKWG83u1bD5MJt</t>
  </si>
  <si>
    <t>https://drive.google.com/uc?id=1IJVRtWx-6xfiYnJ_w0QKWG83u1bD5MJt</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</si>
  <si>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Night Before'
Panel 1 (Setup): Beagle sits at his desk at 11pm. Stack of SAT prep books towers beside him. A full glass of water, a snack, sticky notes everywhere. He looks energized. Caption: 'TEST IS TOMORROW. PLENTY OF TIME.'
Panel 2 (Escalation): He opens a math review book to chapter 1. Then decides he should review grammar first. Grabs that book. Then remembers reading strategies. Opens that one too. Three books open simultaneously, none of them being read.
Panel 3 (Hiccup): Clock on wall: 1:47am. Beagle is face-down on the open books, one paw still holding a highlighter. All three books still open. The sticky notes have fallen everywhere. A half-eaten snack beside him.
Panel 4 (Pivot): Athena appears in the doorway, calm, holding a glass of water. She says nothing except: 'WHEN IS THE TEST?'
Panel 5 (Beat): Beagle lifts his head slowly. One sticky note is attached to his ear. He looks at the clock. Looks at the books. Closes them one by one, very quietly.
Panel 6 (Punchline): Beagle is lying in bed, eyes open, staring at the ceiling, still wearing his green collar. Small text above him in the dark: '...i should have done this tuesday.'
Reference the provided style image to maintain visual consistency in palette, illustration style, and layout.</t>
  </si>
  <si>
    <t>comic_006</t>
  </si>
  <si>
    <t>Title banner: 'SAT LOGIC — The Hard Question'
Panel 1 (Setup): Beagle flips through his test, eyes scanning confidently. He hits a question and freezes. Close-up on the question number at the top: it is circled with a tiny star he drew himself. His expression: respect.
Panel 2 (Escalation): He reads it once. Twice. Tilts his head 45 degrees. One ear up, one ear down. He writes a number. Crosses it out. Writes another number. Circles it tentatively.
Panel 3 (Hiccup): Beagle has now filled the margin with scratch work. Equations going in four different directions. One equation has been crossed out so hard the pencil nearly went through the paper. His eraser is now a nub.
Panel 4 (Pivot): Athena glances at the problem from over his shoulder. She points to the very first line and asks: 'WHAT IS IT ASKING FOR?'
Panel 5 (Beat): Beagle reads the question stem again. Just the question stem. His pencil stops moving. He sits up very straight. Looks at all his margin work. Looks back at the question. Very long pause.
Panel 6 (Punchline): Beagle has written a clean, short answer in the bubble. He is staring at it. The entire margin of scratch work sits unused above. Small text near his ear: '...i solved for the wrong variable. for six minutes.'</t>
  </si>
  <si>
    <t>The nub eraser and multi-directional margin equations are visually rich. Solving for the wrong variable is a genuine and specific SAT math error, which gives this credibility beyond generic test anxiety.</t>
  </si>
  <si>
    <t>2026-07-15T17:38:05.142-07:00</t>
  </si>
  <si>
    <t>comic_007</t>
  </si>
  <si>
    <t>Title banner: 'SAT LOGIC — Skipping Questions'
Panel 1 (Setup): Beagle sits at his test, pencil ready, looking sharp. He reads a question, doesn't know it immediately, and thinks: 'I'LL COME BACK TO THIS.' He puts a small mark next to it and moves on. Responsible.
Panel 2 (Escalation): Another question. Tricky. 'I'LL COME BACK.' Mark. Another one. 'DEFINITELY COMING BACK.' Mark. He is moving through the test at a steady clip, marking freely.
Panel 3 (Hiccup): Wide shot of the entire test. Nearly every question has a small mark next to it. There are more marks than clean answers. Beagle stares at the page. The marks look back.
Panel 4 (Pivot): Athena appears and looks at the page without alarm. She says simply: 'WHICH ONES CAN YOU DO NOW?'
Panel 5 (Beat): Beagle scans the marked questions. Stops at one. Reads it carefully. His brow unfurrows slightly. He picks up his pencil. Then looks at the clock. Then back at the questions. His ears droop.
Panel 6 (Punchline): Beagle is furiously re-reading questions with 4 minutes left on the clock. Small text above the chaos: '...coming back is a strategy. having nothing to come back to is different.'</t>
  </si>
  <si>
    <t>The visual of more marks than answers is a strong single-image moment. The punchline text reframes skipping as a skill without being preachy. Athena's redirect is well-timed.</t>
  </si>
  <si>
    <t>2026-07-15T17:38:05.144-07:00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</si>
  <si>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Skipping Questions'\n\nPanel 1 (Setup): Beagle sits at his test, pencil ready, looking sharp. He reads a question, doesn't know it immediately, and thinks: 'I'LL COME BACK TO THIS.' He puts a small mark next to it and moves on. Responsible.\n\nPanel 2 (Escalation): Another question. Tricky. 'I'LL COME BACK.' Mark. Another one. 'DEFINITELY COMING BACK.' Mark. He is moving through the test at a steady clip, marking freely.\n\nPanel 3 (Hiccup): Wide shot of the entire test. Nearly every question has a small mark next to it. There are more marks than clean answers. Beagle stares at the page. The marks look back.\n\nPanel 4 (Pivot): Athena appears and looks at the page without alarm. She says simply: 'WHICH ONES CAN YOU DO NOW?'\n\nPanel 5 (Beat): Beagle scans the marked questions. Stops at one. Reads it carefully. His brow unfurrows slightly. He picks up his pencil. Then looks at the clock. Then back at the questions. His ears droop.\n\nPanel 6 (Punchline): Beagle is furiously re-reading questions with 4 minutes left on the clock. Small text above the chaos: '...coming back is a strategy. having nothing to come back to is different.'\n\nReference the provided style image to maintain visual consistency in palette, illustration style, and layout.","input_urls":["https://tempfile.redpandaai.co/kieai/11402406/athena-refs/style_ref.jpg"],"aspect_ratio":"4:5"}}</t>
  </si>
  <si>
    <t>8248d99ca1d4bfe60cba6b25ee03f528</t>
  </si>
  <si>
    <t>https://tempfile.aiquickdraw.com/images/chatgpt/file_00000000081c72098cbc7c1185f60f14.png</t>
  </si>
  <si>
    <t>1Jycvva1aYHsnx_izGyT9dVMMByuNGXgL</t>
  </si>
  <si>
    <t>https://drive.google.com/uc?id=1Jycvva1aYHsnx_izGyT9dVMMByuNGXgL</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</si>
  <si>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Skipping Questions'
Panel 1 (Setup): Beagle sits at his test, pencil ready, looking sharp. He reads a question, doesn't know it immediately, and thinks: 'I'LL COME BACK TO THIS.' He puts a small mark next to it and moves on. Responsible.
Panel 2 (Escalation): Another question. Tricky. 'I'LL COME BACK.' Mark. Another one. 'DEFINITELY COMING BACK.' Mark. He is moving through the test at a steady clip, marking freely.
Panel 3 (Hiccup): Wide shot of the entire test. Nearly every question has a small mark next to it. There are more marks than clean answers. Beagle stares at the page. The marks look back.
Panel 4 (Pivot): Athena appears and looks at the page without alarm. She says simply: 'WHICH ONES CAN YOU DO NOW?'
Panel 5 (Beat): Beagle scans the marked questions. Stops at one. Reads it carefully. His brow unfurrows slightly. He picks up his pencil. Then looks at the clock. Then back at the questions. His ears droop.
Panel 6 (Punchline): Beagle is furiously re-reading questions with 4 minutes left on the clock. Small text above the chaos: '...coming back is a strategy. having nothing to come back to is different.'
Reference the provided style image to maintain visual consistency in palette, illustration style, and layout.</t>
  </si>
  <si>
    <t>comic_008</t>
  </si>
  <si>
    <t>Title banner: 'SAT LOGIC — Checking Your Work'
Panel 1 (Setup): Beagle finishes the last question of a section with 8 minutes still on the clock. He leans back, paws behind his head, tail doing a small satisfied wag. Caption: '8 MINUTES TO SPARE.'
Panel 2 (Escalation): Athena's voice from off-panel: 'WANT TO CHECK YOUR WORK?' Beagle waves a paw dismissively, eyes still closed. Thought bubble: 'I FEEL GOOD ABOUT IT.'
Panel 3 (Hiccup): He gets the test back. One question circled in red. He looks at it. He remembers it. He had the right answer. Then changed it. The original answer — the correct one — is faintly visible beneath the erased mark.
Panel 4 (Pivot): Athena sits beside him, not saying 'I told you so.' She asks quietly: 'WHAT MADE YOU CHANGE IT?'
Panel 5 (Beat): Beagle stares at the erased ghost of his first answer. He has no good response. His pencil is flat on the table. His ears are very low. He opens his mouth. Closes it.
Panel 6 (Punchline): Beagle is sitting with the test on his lap, the erased answer still faintly visible. Small text near his paw: '...it just started to look wrong. it wasn't.'</t>
  </si>
  <si>
    <t>The ghost of the erased correct answer is a haunting and concrete visual. Changing a right answer is a deeply felt student experience. Athena not saying 'I told you so' is a meaningful brand choice.</t>
  </si>
  <si>
    <t>2026-07-15T17:38:05.147-07:00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</si>
  <si>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Checking Your Work'\n\nPanel 1 (Setup): Beagle finishes the last question of a section with 8 minutes still on the clock. He leans back, paws behind his head, tail doing a small satisfied wag. Caption: '8 MINUTES TO SPARE.'\n\nPanel 2 (Escalation): Athena's voice from off-panel: 'WANT TO CHECK YOUR WORK?' Beagle waves a paw dismissively, eyes still closed. Thought bubble: 'I FEEL GOOD ABOUT IT.'\n\nPanel 3 (Hiccup): He gets the test back. One question circled in red. He looks at it. He remembers it. He had the right answer. Then changed it. The original answer — the correct one — is faintly visible beneath the erased mark.\n\nPanel 4 (Pivot): Athena sits beside him, not saying 'I told you so.' She asks quietly: 'WHAT MADE YOU CHANGE IT?'\n\nPanel 5 (Beat): Beagle stares at the erased ghost of his first answer. He has no good response. His pencil is flat on the table. His ears are very low. He opens his mouth. Closes it.\n\nPanel 6 (Punchline): Beagle is sitting with the test on his lap, the erased answer still faintly visible. Small text near his paw: '...it just started to look wrong. it wasn't.'\n\nReference the provided style image to maintain visual consistency in palette, illustration style, and layout.","input_urls":["https://tempfile.redpandaai.co/kieai/11402406/athena-refs/style_ref.jpg"],"aspect_ratio":"4:5"}}</t>
  </si>
  <si>
    <t>ea847837e704203507ba209923fc90d4</t>
  </si>
  <si>
    <t>https://tempfile.aiquickdraw.com/images/chatgpt/file_000000002874722f914b2234937bd633.png</t>
  </si>
  <si>
    <t>1QiJEhOf9enIqkS_hTrwrHyYYb9pKjvMn</t>
  </si>
  <si>
    <t>https://drive.google.com/uc?id=1QiJEhOf9enIqkS_hTrwrHyYYb9pKjvMn</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</si>
  <si>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Checking Your Work'
Panel 1 (Setup): Beagle finishes the last question of a section with 8 minutes still on the clock. He leans back, paws behind his head, tail doing a small satisfied wag. Caption: '8 MINUTES TO SPARE.'
Panel 2 (Escalation): Athena's voice from off-panel: 'WANT TO CHECK YOUR WORK?' Beagle waves a paw dismissively, eyes still closed. Thought bubble: 'I FEEL GOOD ABOUT IT.'
Panel 3 (Hiccup): He gets the test back. One question circled in red. He looks at it. He remembers it. He had the right answer. Then changed it. The original answer — the correct one — is faintly visible beneath the erased mark.
Panel 4 (Pivot): Athena sits beside him, not saying 'I told you so.' She asks quietly: 'WHAT MADE YOU CHANGE IT?'
Panel 5 (Beat): Beagle stares at the erased ghost of his first answer. He has no good response. His pencil is flat on the table. His ears are very low. He opens his mouth. Closes it.
Panel 6 (Punchline): Beagle is sitting with the test on his lap, the erased answer still faintly visible. Small text near his paw: '...it just started to look wrong. it wasn't.'
Reference the provided style image to maintain visual consistency in palette, illustration style, and layout.</t>
  </si>
  <si>
    <t>comic_009</t>
  </si>
  <si>
    <t>Title banner: 'SAT LOGIC — The Practice Test Score'
Panel 1 (Setup): Beagle tears open his scored practice test results with great enthusiasm. His tail is mid-wag. His expression is pure anticipation. He holds the paper up in both paws.
Panel 2 (Escalation): He looks at the score. The wag slows. His ears, which were perked up, begin to lower incrementally. He reads the number again. Closer. As if proximity will change it.
Panel 3 (Hiccup): Beagle has placed the paper face-down on the desk. He is sitting with his paws folded, staring at the wall. A single thought bubble: 'MAYBE I'M JUST NOT A TEST PERSON.'
Panel 4 (Pivot): Athena flips the paper back over calmly and points to the error breakdown section. She asks: 'WHAT TYPE OF QUESTION TRIPPED YOU UP MOST?'
Panel 5 (Beat): Beagle reluctantly looks at the breakdown. One category has a lot of X marks. He reads the label slowly. His expression shifts — not happy, but no longer blank. His pencil moves toward the page.
Panel 6 (Punchline): Beagle is circling that one problem category, making a small note next to it. His expression is flat but present. Small text below his circling paw: '...okay. so it's that one thing. that's actually less bad.'</t>
  </si>
  <si>
    <t>Maybe I'm just not a test person' is the exact thought parents fear their kids are having. The pivot from despair to category-level diagnosis is the core Athena value proposition shown not told. Strong.</t>
  </si>
  <si>
    <t>2026-07-15T17:38:05.150-07:00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</si>
  <si>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Practice Test Score'\n\nPanel 1 (Setup): Beagle tears open his scored practice test results with great enthusiasm. His tail is mid-wag. His expression is pure anticipation. He holds the paper up in both paws.\n\nPanel 2 (Escalation): He looks at the score. The wag slows. His ears, which were perked up, begin to lower incrementally. He reads the number again. Closer. As if proximity will change it.\n\nPanel 3 (Hiccup): Beagle has placed the paper face-down on the desk. He is sitting with his paws folded, staring at the wall. A single thought bubble: 'MAYBE I'M JUST NOT A TEST PERSON.'\n\nPanel 4 (Pivot): Athena flips the paper back over calmly and points to the error breakdown section. She asks: 'WHAT TYPE OF QUESTION TRIPPED YOU UP MOST?'\n\nPanel 5 (Beat): Beagle reluctantly looks at the breakdown. One category has a lot of X marks. He reads the label slowly. His expression shifts — not happy, but no longer blank. His pencil moves toward the page.\n\nPanel 6 (Punchline): Beagle is circling that one problem category, making a small note next to it. His expression is flat but present. Small text below his circling paw: '...okay. so it's that one thing. that's actually less bad.'\n\nReference the provided style image to maintain visual consistency in palette, illustration style, and layout.","input_urls":["https://tempfile.redpandaai.co/kieai/11402406/athena-refs/style_ref.jpg"],"aspect_ratio":"4:5"}}</t>
  </si>
  <si>
    <t>1ab8d9071127d1d3af4a2396f6bbf2cc</t>
  </si>
  <si>
    <t>https://tempfile.aiquickdraw.com/images/chatgpt/file_0000000022f871fbbcfbd594cb0c9260.png</t>
  </si>
  <si>
    <t>1mmVHL39nlC9hpSEr08S_Vbpkr72sZWk-</t>
  </si>
  <si>
    <t>https://drive.google.com/uc?id=1mmVHL39nlC9hpSEr08S_Vbpkr72sZWk-</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</si>
  <si>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Practice Test Score'
Panel 1 (Setup): Beagle tears open his scored practice test results with great enthusiasm. His tail is mid-wag. His expression is pure anticipation. He holds the paper up in both paws.
Panel 2 (Escalation): He looks at the score. The wag slows. His ears, which were perked up, begin to lower incrementally. He reads the number again. Closer. As if proximity will change it.
Panel 3 (Hiccup): Beagle has placed the paper face-down on the desk. He is sitting with his paws folded, staring at the wall. A single thought bubble: 'MAYBE I'M JUST NOT A TEST PERSON.'
Panel 4 (Pivot): Athena flips the paper back over calmly and points to the error breakdown section. She asks: 'WHAT TYPE OF QUESTION TRIPPED YOU UP MOST?'
Panel 5 (Beat): Beagle reluctantly looks at the breakdown. One category has a lot of X marks. He reads the label slowly. His expression shifts — not happy, but no longer blank. His pencil moves toward the page.
Panel 6 (Punchline): Beagle is circling that one problem category, making a small note next to it. His expression is flat but present. Small text below his circling paw: '...okay. so it's that one thing. that's actually less bad.'
Reference the provided style image to maintain visual consistency in palette, illustration style, and layout.</t>
  </si>
  <si>
    <t>comic_010</t>
  </si>
  <si>
    <t>Title banner: 'SAT LOGIC — Trusting Your First Instinct'
Panel 1 (Setup): Beagle reads a grammar question, and his paw moves immediately to circle answer B. Fast, clean, instinctive. His expression: calm certainty.
Panel 2 (Escalation): He pauses. Reconsiders. Reads the question again very slowly. His eyes linger on answer D. 'WAIT,' he thinks. 'D SOUNDS MORE... OFFICIAL.'
Panel 3 (Hiccup): He erases B and circles D. Then looks at it. Erases D. Circles B again. Then erases B. Circles C. He doesn't know how he got to C. His eraser is leaving a gray smudge cloud over the answer area.
Panel 4 (Pivot): Athena looks at the smudge cloud where answer choices used to be. She says: 'WHAT DID YOU THINK FIRST?'
Panel 5 (Beat): Beagle stares at the smudge. The original B is faintly, barely visible under layers of erasing. He tilts his head. He presses his nose closer to the paper. His tail is very still.
Panel 6 (Punchline): Beagle has written a fresh 'B' next to the smudge cloud and circled it. He is staring at it with exhausted, knowing eyes. Small text near the smudge: '...i knew. i just didn't trust it.'</t>
  </si>
  <si>
    <t>The smudge cloud is a perfect visual metaphor for overthinking. The arc from instinct to doubt to erosion to re-commitment is emotionally true. Punchline is the strongest in the set.</t>
  </si>
  <si>
    <t>2026-07-15T17:38:05.152-07:00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</si>
  <si>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Trusting Your First Instinct'\n\nPanel 1 (Setup): Beagle reads a grammar question, and his paw moves immediately to circle answer B. Fast, clean, instinctive. His expression: calm certainty.\n\nPanel 2 (Escalation): He pauses. Reconsiders. Reads the question again very slowly. His eyes linger on answer D. 'WAIT,' he thinks. 'D SOUNDS MORE... OFFICIAL.'\n\nPanel 3 (Hiccup): He erases B and circles D. Then looks at it. Erases D. Circles B again. Then erases B. Circles C. He doesn't know how he got to C. His eraser is leaving a gray smudge cloud over the answer area.\n\nPanel 4 (Pivot): Athena looks at the smudge cloud where answer choices used to be. She says: 'WHAT DID YOU THINK FIRST?'\n\nPanel 5 (Beat): Beagle stares at the smudge. The original B is faintly, barely visible under layers of erasing. He tilts his head. He presses his nose closer to the paper. His tail is very still.\n\nPanel 6 (Punchline): Beagle has written a fresh 'B' next to the smudge cloud and circled it. He is staring at it with exhausted, knowing eyes. Small text near the smudge: '...i knew. i just didn't trust it.'\n\nReference the provided style image to maintain visual consistency in palette, illustration style, and layout.","input_urls":["https://tempfile.redpandaai.co/kieai/11402406/athena-refs/style_ref.jpg"],"aspect_ratio":"4:5"}}</t>
  </si>
  <si>
    <t>60fee3805c5ffbc05f770deb7d21e46b</t>
  </si>
  <si>
    <t>https://tempfile.aiquickdraw.com/images/chatgpt/file_00000000e0b4722f9d2451f841a3a79e.png</t>
  </si>
  <si>
    <t>1KUyyOrkyt_0DzEbuAQkx0ClsO-dYSkT4</t>
  </si>
  <si>
    <t>https://drive.google.com/uc?id=1KUyyOrkyt_0DzEbuAQkx0ClsO-dYSkT4</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</si>
  <si>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Trusting Your First Instinct'
Panel 1 (Setup): Beagle reads a grammar question, and his paw moves immediately to circle answer B. Fast, clean, instinctive. His expression: calm certainty.
Panel 2 (Escalation): He pauses. Reconsiders. Reads the question again very slowly. His eyes linger on answer D. 'WAIT,' he thinks. 'D SOUNDS MORE... OFFICIAL.'
Panel 3 (Hiccup): He erases B and circles D. Then looks at it. Erases D. Circles B again. Then erases B. Circles C. He doesn't know how he got to C. His eraser is leaving a gray smudge cloud over the answer area.
Panel 4 (Pivot): Athena looks at the smudge cloud where answer choices used to be. She says: 'WHAT DID YOU THINK FIRST?'
Panel 5 (Beat): Beagle stares at the smudge. The original B is faintly, barely visible under layers of erasing. He tilts his head. He presses his nose closer to the paper. His tail is very still.
Panel 6 (Punchline): Beagle has written a fresh 'B' next to the smudge cloud and circled it. He is staring at it with exhausted, knowing eyes. Small text near the smudge: '...i knew. i just didn't trust it.'
Reference the provided style image to maintain visual consistency in palette, illustration style, and layout.</t>
  </si>
  <si>
    <t>notes_001</t>
  </si>
  <si>
    <t>Dear parents,
She studied for three weeks.
Flashcards. Practice tests. Late nights.
The score went up four points.
She cried in the car on the way home.
You didn't know what to say.
So you said 'you'll do better next time.'
But she's not sure she believes that anymore.
And honestly —
neither are you.
— Athena</t>
  </si>
  <si>
    <t>Viscerally specific parent moment, emotionally honest without being manipulative, visually renderable as a handwritten note, fresh take on score disappointment</t>
  </si>
  <si>
    <t>2026-07-16T10:01:16.389-07:00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</si>
  <si>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parents,\n\nShe studied for three weeks.\nFlashcards. Practice tests. Late nights.\n\nThe score went up four points.\n\nShe cried in the car on the way home.\nYou didn't know what to say.\nSo you said 'you'll do better next time.'\n\nBut she's not sure she believes that anymore.\n\nAnd honestly —\nneither are you.\n\n— Athena\n\nReference the provided style image to maintain visual consistency in palette, illustration style, and layout.","input_urls":["https://tempfile.redpandaai.co/kieai/11402406/athena-refs/style_ref.jpg"],"aspect_ratio":"4:5"}}</t>
  </si>
  <si>
    <t>217193d2433e550c3044cc8d8556572e</t>
  </si>
  <si>
    <t>https://tempfile.aiquickdraw.com/images/chatgpt/file_000000004ac4722fafb2201df540d4c8.png</t>
  </si>
  <si>
    <t>1XnT9V3Ckr05wgIYPv6ptQsA7GUJfzaXr</t>
  </si>
  <si>
    <t>https://drive.google.com/uc?id=1XnT9V3Ckr05wgIYPv6ptQsA7GUJfzaXr</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</si>
  <si>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</si>
  <si>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She studied for three weeks.
Flashcards. Practice tests. Late nights.
The score went up four points.
She cried in the car on the way home.
You didn't know what to say.
So you said 'you'll do better next time.'
But she's not sure she believes that anymore.
And honestly —
neither are you.
— Athena
Reference the provided style image to maintain visual consistency in palette, illustration style, and layout.</t>
  </si>
  <si>
    <t>notes_002</t>
  </si>
  <si>
    <t>Dear parents,
He got the math problem wrong.
Not because he didn't study.
Not because he isn't smart.
Because no one ever showed him
what the question was actually asking.
The SAT isn't a knowledge test.
It's a reading-the-question test.
And we've been teaching kids
the wrong thing to practice.
— Athena</t>
  </si>
  <si>
    <t>Sharp insight about what the SAT actually tests, actionable reframe, concrete enough to visualize as a note, speaks directly to a real parental frustration</t>
  </si>
  <si>
    <t>2026-07-16T10:01:16.393-07:00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</si>
  <si>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parents,\n\nHe got the math problem wrong.\nNot because he didn't study.\nNot because he isn't smart.\n\nBecause no one ever showed him\nwhat the question was actually asking.\n\nThe SAT isn't a knowledge test.\nIt's a reading-the-question test.\n\nAnd we've been teaching kids\nthe wrong thing to practice.\n\n— Athena\n\nReference the provided style image to maintain visual consistency in palette, illustration style, and layout.","input_urls":["https://tempfile.redpandaai.co/kieai/11402406/athena-refs/style_ref.jpg"],"aspect_ratio":"4:5"}}</t>
  </si>
  <si>
    <t>cf0f7d6b8be965717a7d561b4443c1e9</t>
  </si>
  <si>
    <t>https://tempfile.aiquickdraw.com/images/chatgpt/file_00000000ca80722fb0eec7781a6b87c9.png</t>
  </si>
  <si>
    <t>1pg4s8b1Qgq_oK_520V4m2XXJt3fz3Ixm</t>
  </si>
  <si>
    <t>https://drive.google.com/uc?id=1pg4s8b1Qgq_oK_520V4m2XXJt3fz3Ixm</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</si>
  <si>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He got the math problem wrong.
Not because he didn't study.
Not because he isn't smart.
Because no one ever showed him
what the question was actually asking.
The SAT isn't a knowledge test.
It's a reading-the-question test.
And we've been teaching kids
the wrong thing to practice.
— Athena
Reference the provided style image to maintain visual consistency in palette, illustration style, and layout.</t>
  </si>
  <si>
    <t>notes_003</t>
  </si>
  <si>
    <t>Dear parents,
The tutor costs $150 an hour.
You've paid for eleven sessions.
Your daughter still doesn't know
why she keeps missing the same
type of reading question.
Neither does the tutor.
They've just been doing more questions.
Not figuring out what's broken.
More practice isn't the same as the right practice.
— Athena</t>
  </si>
  <si>
    <t>Indicts the status quo tutor model without naming competitors, pain point is financially and emotionally specific, strong narrative tension</t>
  </si>
  <si>
    <t>2026-07-16T10:01:16.395-07:00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</si>
  <si>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parents,\n\nThe tutor costs $150 an hour.\nYou've paid for eleven sessions.\n\nYour daughter still doesn't know\nwhy she keeps missing the same\ntype of reading question.\n\nNeither does the tutor.\n\nThey've just been doing more questions.\nNot figuring out what's broken.\n\nMore practice isn't the same as the right practice.\n\n— Athena\n\nReference the provided style image to maintain visual consistency in palette, illustration style, and layout.","input_urls":["https://tempfile.redpandaai.co/kieai/11402406/athena-refs/style_ref.jpg"],"aspect_ratio":"4:5"}}</t>
  </si>
  <si>
    <t>5728455355383fa13c67c6ef2c1af7c4</t>
  </si>
  <si>
    <t>https://tempfile.aiquickdraw.com/images/chatgpt/file_000000001e4c722fb62ad1c09625fde0.png</t>
  </si>
  <si>
    <t>1i0la0A_AgrRQombGFJZlhoR_z28izZlW</t>
  </si>
  <si>
    <t>https://drive.google.com/uc?id=1i0la0A_AgrRQombGFJZlhoR_z28izZlW</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</si>
  <si>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The tutor costs $150 an hour.
You've paid for eleven sessions.
Your daughter still doesn't know
why she keeps missing the same
type of reading question.
Neither does the tutor.
They've just been doing more questions.
Not figuring out what's broken.
More practice isn't the same as the right practice.
— Athena
Reference the provided style image to maintain visual consistency in palette, illustration style, and layout.</t>
  </si>
  <si>
    <t>notes_004</t>
  </si>
  <si>
    <t>Dear parents,
He said he's fine.
He said he doesn't care about the score.
He said college isn't a big deal.
But you heard him on the phone
with his friend last night.
He cares.
He just doesn't want you to see him fail at something
he's already trying hard at.
— Athena</t>
  </si>
  <si>
    <t>Captures the teenager emotional mask authentically, parent-child dynamic feels real and observed, not preachy, strong resonance</t>
  </si>
  <si>
    <t>2026-07-16T10:01:16.398-07:00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</si>
  <si>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parents,\n\nHe said he's fine.\nHe said he doesn't care about the score.\nHe said college isn't a big deal.\n\nBut you heard him on the phone\nwith his friend last night.\n\nHe cares.\n\nHe just doesn't want you to see him fail at something\nhe's already trying hard at.\n\n— Athena\n\nReference the provided style image to maintain visual consistency in palette, illustration style, and layout.","input_urls":["https://tempfile.redpandaai.co/kieai/11402406/athena-refs/style_ref.jpg"],"aspect_ratio":"4:5"}}</t>
  </si>
  <si>
    <t>cae07744f73c56e8c64047ef02e6b415</t>
  </si>
  <si>
    <t>https://tempfile.aiquickdraw.com/images/chatgpt/file_00000000f62c720c9570410e2af5cd0f.png</t>
  </si>
  <si>
    <t>1cWJQrNAXNs3gEp39Nx1A7WbHPiEeSXM_</t>
  </si>
  <si>
    <t>https://drive.google.com/uc?id=1cWJQrNAXNs3gEp39Nx1A7WbHPiEeSXM_</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</si>
  <si>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He said he's fine.
He said he doesn't care about the score.
He said college isn't a big deal.
But you heard him on the phone
with his friend last night.
He cares.
He just doesn't want you to see him fail at something
he's already trying hard at.
— Athena
Reference the provided style image to maintain visual consistency in palette, illustration style, and layout.</t>
  </si>
  <si>
    <t>notes_005</t>
  </si>
  <si>
    <t>Dear parents,
She took the test in October.
And again in December.
And she's registered for March.
Same prep routine each time.
Same books.
Same practice tests.
Same score, give or take.
Doing the same thing and expecting a different result
has a name.
And it isn't a strategy.
— Athena</t>
  </si>
  <si>
    <t>The Einstein insanity definition without saying it — clever restraint, pattern of repetition mirrors the student's trap, visually clean and punchy</t>
  </si>
  <si>
    <t>2026-07-16T10:01:16.401-07:00</t>
  </si>
  <si>
    <t>notes_006</t>
  </si>
  <si>
    <t>Dear parents,
Your son is not a bad test taker.
That's a story we tell kids
so the problem feels like personality
instead of something fixable.
He's a kid who was never taught
how this specific test thinks.
There's a difference.
One you can't do anything about.
One you can.
— Athena</t>
  </si>
  <si>
    <t>Reframes a fixed mindset label into a solvable problem, empowering without being salesy, the two-line contrast at the end is strong copy</t>
  </si>
  <si>
    <t>2026-07-16T10:01:16.405-07:00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</si>
  <si>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parents,\n\nYour son is not a bad test taker.\n\nThat's a story we tell kids\nso the problem feels like personality\ninstead of something fixable.\n\nHe's a kid who was never taught\nhow this specific test thinks.\n\nThere's a difference.\n\nOne you can't do anything about.\nOne you can.\n\n— Athena\n\nReference the provided style image to maintain visual consistency in palette, illustration style, and layout.","input_urls":["https://tempfile.redpandaai.co/kieai/11402406/athena-refs/style_ref.jpg"],"aspect_ratio":"4:5"}}</t>
  </si>
  <si>
    <t>540b4792487c21d513682fefbe33437d</t>
  </si>
  <si>
    <t>https://tempfile.aiquickdraw.com/images/chatgpt/file_00000000406c722f9c886005d7cf0443.png</t>
  </si>
  <si>
    <t>1Qotyn8d_EPar_TJRa0EhoWYRdL47_Ask</t>
  </si>
  <si>
    <t>https://drive.google.com/uc?id=1Qotyn8d_EPar_TJRa0EhoWYRdL47_Ask</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</si>
  <si>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Your son is not a bad test taker.
That's a story we tell kids
so the problem feels like personality
instead of something fixable.
He's a kid who was never taught
how this specific test thinks.
There's a difference.
One you can't do anything about.
One you can.
— Athena
Reference the provided style image to maintain visual consistency in palette, illustration style, and layout.</t>
  </si>
  <si>
    <t>notes_007</t>
  </si>
  <si>
    <t>Dear parents,
The college list is on the fridge.
You've toured four campuses.
You've talked about majors, dorms, fit.
But the score is 1090.
And most of those schools
have a median of 1350.
No one wants to say it out loud.
So it just sits there.
On the fridge.
Next to the campus brochures.
— Athena</t>
  </si>
  <si>
    <t>The fridge as visual metaphor is concrete and quietly devastating, score gap made real through specificity, avoids lecturing</t>
  </si>
  <si>
    <t>2026-07-16T10:01:16.408-07:00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</si>
  <si>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parents,\n\nThe college list is on the fridge.\nYou've toured four campuses.\nYou've talked about majors, dorms, fit.\n\nBut the score is 1090.\n\nAnd most of those schools\nhave a median of 1350.\n\nNo one wants to say it out loud.\nSo it just sits there.\n\nOn the fridge.\nNext to the campus brochures.\n\n— Athena\n\nReference the provided style image to maintain visual consistency in palette, illustration style, and layout.","input_urls":["https://tempfile.redpandaai.co/kieai/11402406/athena-refs/style_ref.jpg"],"aspect_ratio":"4:5"}}</t>
  </si>
  <si>
    <t>8015bf82bf6540d07245c8c380093ac6</t>
  </si>
  <si>
    <t>https://tempfile.aiquickdraw.com/images/chatgpt/file_00000000b59471fd88eb40cea0ef25a6.png</t>
  </si>
  <si>
    <t>1Vb2yIl3spdCq1qL98SwOpJS5qhR9CWZ-</t>
  </si>
  <si>
    <t>https://drive.google.com/uc?id=1Vb2yIl3spdCq1qL98SwOpJS5qhR9CWZ-</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</si>
  <si>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The college list is on the fridge.
You've toured four campuses.
You've talked about majors, dorms, fit.
But the score is 1090.
And most of those schools
have a median of 1350.
No one wants to say it out loud.
So it just sits there.
On the fridge.
Next to the campus brochures.
— Athena
Reference the provided style image to maintain visual consistency in palette, illustration style, and layout.</t>
  </si>
  <si>
    <t>notes_008</t>
  </si>
  <si>
    <t>Dear parents,
She understood it when the tutor explained it.
She nodded. She got it.
She even did the next problem right.
Then it showed up on the real test
worded slightly differently.
And she froze.
Understanding something in a lesson
is not the same as owning it under pressure.
That gap is where scores are lost.
— Athena</t>
  </si>
  <si>
    <t>Identifies a genuine and underarticulated learning gap, the freeze moment is universally recognizable, pedagogically credible</t>
  </si>
  <si>
    <t>2026-07-16T10:01:16.411-07:00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</si>
  <si>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parents,\n\nShe understood it when the tutor explained it.\nShe nodded. She got it.\nShe even did the next problem right.\n\nThen it showed up on the real test\nworded slightly differently.\n\nAnd she froze.\n\nUnderstanding something in a lesson\nis not the same as owning it under pressure.\n\nThat gap is where scores are lost.\n\n— Athena\n\nReference the provided style image to maintain visual consistency in palette, illustration style, and layout.","input_urls":["https://tempfile.redpandaai.co/kieai/11402406/athena-refs/style_ref.jpg"],"aspect_ratio":"4:5"}}</t>
  </si>
  <si>
    <t>0ebb9587aa8aae5d52e9ca222b6715b0</t>
  </si>
  <si>
    <t>https://tempfile.aiquickdraw.com/images/chatgpt/file_000000002d0471f5a131107d4cc61944.png</t>
  </si>
  <si>
    <t>1BaSxbHxUKLOv2pBur_yGyIf14__z_PsT</t>
  </si>
  <si>
    <t>https://drive.google.com/uc?id=1BaSxbHxUKLOv2pBur_yGyIf14__z_PsT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</si>
  <si>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She understood it when the tutor explained it.
She nodded. She got it.
She even did the next problem right.
Then it showed up on the real test
worded slightly differently.
And she froze.
Understanding something in a lesson
is not the same as owning it under pressure.
That gap is where scores are lost.
— Athena
Reference the provided style image to maintain visual consistency in palette, illustration style, and layout.</t>
  </si>
  <si>
    <t>notes_009</t>
  </si>
  <si>
    <t>Dear parents,
He's a straight-A student.
Honors classes. Great teacher feedback.
You've never worried about him academically.
Until the PSAT came back.
And suddenly the story you've been telling yourself
about how prepared he is
felt a little less certain.
Grades measure effort.
The SAT measures something different.
And that's the part nobody warned you about.
— Athena</t>
  </si>
  <si>
    <t>Straight-A student PSAT shock is an extremely common and underserved parent experience, the grades-vs-SAT distinction is a real insight, not a cliche</t>
  </si>
  <si>
    <t>2026-07-16T10:01:16.414-07:00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</si>
  <si>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parents,\n\nHe's a straight-A student.\nHonors classes. Great teacher feedback.\nYou've never worried about him academically.\n\nUntil the PSAT came back.\n\nAnd suddenly the story you've been telling yourself\nabout how prepared he is\nfelt a little less certain.\n\nGrades measure effort.\nThe SAT measures something different.\n\nAnd that's the part nobody warned you about.\n\n— Athena\n\nReference the provided style image to maintain visual consistency in palette, illustration style, and layout.","input_urls":["https://tempfile.redpandaai.co/kieai/11402406/athena-refs/style_ref.jpg"],"aspect_ratio":"4:5"}}</t>
  </si>
  <si>
    <t>a8bedf2151a04468f667af205ef08bc4</t>
  </si>
  <si>
    <t>https://tempfile.aiquickdraw.com/images/chatgpt/file_0000000021d0722f8bfa93849d8cd66d.png</t>
  </si>
  <si>
    <t>1ja_8e3BZxKBD7sPb60KdqBUfC1V1auHr</t>
  </si>
  <si>
    <t>https://drive.google.com/uc?id=1ja_8e3BZxKBD7sPb60KdqBUfC1V1auHr</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</si>
  <si>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He's a straight-A student.
Honors classes. Great teacher feedback.
You've never worried about him academically.
Until the PSAT came back.
And suddenly the story you've been telling yourself
about how prepared he is
felt a little less certain.
Grades measure effort.
The SAT measures something different.
And that's the part nobody warned you about.
— Athena
Reference the provided style image to maintain visual consistency in palette, illustration style, and layout.</t>
  </si>
  <si>
    <t>notes_010</t>
  </si>
  <si>
    <t>Dear parents,
You found the prep book in her backpack.
Still in the plastic wrap.
Test is in six weeks.
You didn't say anything.
Because you didn't know how
without it turning into a fight.
So now you're both just waiting.
Her hoping you won't bring it up.
You hoping she'll start on her own.
Six weeks is still enough time.
But not if you spend it waiting.
— Athena</t>
  </si>
  <si>
    <t>The unopened book detail is painfully specific and visual, the mutual avoidance dynamic is authentic, ends with urgency without panic — well balanced</t>
  </si>
  <si>
    <t>2026-07-16T10:01:16.416-07:00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</si>
  <si>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parents,\n\nYou found the prep book in her backpack.\nStill in the plastic wrap.\nTest is in six weeks.\n\nYou didn't say anything.\nBecause you didn't know how\nwithout it turning into a fight.\n\nSo now you're both just waiting.\n\nHer hoping you won't bring it up.\nYou hoping she'll start on her own.\n\nSix weeks is still enough time.\nBut not if you spend it waiting.\n\n— Athena\n\nReference the provided style image to maintain visual consistency in palette, illustration style, and layout.","input_urls":["https://tempfile.redpandaai.co/kieai/11402406/athena-refs/style_ref.jpg"],"aspect_ratio":"4:5"}}</t>
  </si>
  <si>
    <t>7e7cd2aff9605a4febbc4d50dd6e4521</t>
  </si>
  <si>
    <t>https://tempfile.aiquickdraw.com/images/chatgpt/file_000000003de0722fb078586b969b94a6.png</t>
  </si>
  <si>
    <t>1W9ePHiLYX6CpUUHiMVbwA2z70R2_ajrb</t>
  </si>
  <si>
    <t>https://drive.google.com/uc?id=1W9ePHiLYX6CpUUHiMVbwA2z70R2_ajrb</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</si>
  <si>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You found the prep book in her backpack.
Still in the plastic wrap.
Test is in six weeks.
You didn't say anything.
Because you didn't know how
without it turning into a fight.
So now you're both just waiting.
Her hoping you won't bring it up.
You hoping she'll start on her own.
Six weeks is still enough time.
But not if you spend it waiting.
— Athena
Reference the provided style image to maintain visual consistency in palette, illustration style, and layout.</t>
  </si>
  <si>
    <t>comic_011</t>
  </si>
  <si>
    <t>Title banner: 'SAT LOGIC — THE PROCESS OF ELIMINATION'
Panel 1 (Setup): Beagle sits at desk, test paper in front of him, pencil raised confidently. He's circling answer choices with a big grin. Thought bubble: 'I KNOW THIS ONE.'
Panel 2 (Escalation): Close-up of four answer choices. Beagle's paw points at all four simultaneously. His eyes are wide with enthusiasm. Dialogue: 'THEY ALL LOOK RIGHT.'
Panel 3 (Hiccup): Beagle has crossed out answer A, then un-crossed it, then crossed it again. The paper is a mess of scribbles. His ear droops. Dialogue: 'WAIT. NO. MAYBE.'
Panel 4 (Pivot): Athena leans in from the side, calm. She points at one crossed-out answer. Dialogue: 'WHICH ONE DID YOU RULE OUT FIRST?'
Panel 5 (Beat): Beagle stares at the paper. Total silence. One ear up, one ear down. Eyes slightly unfocused. No dialogue.
Panel 6 (Punchline): Beagle has re-circled his very first crossed-out answer. He looks at the reader with a small, tired smile. Dialogue: '...it was A the whole time.'</t>
  </si>
  <si>
    <t>Visually concrete, relatable overthinking moment, Athena as calm guide not AI, fresh enough execution of a known feeling</t>
  </si>
  <si>
    <t>2026-07-16T10:06:22.831-07:00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</si>
  <si>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PROCESS OF ELIMINATION'\n\nPanel 1 (Setup): Beagle sits at desk, test paper in front of him, pencil raised confidently. He's circling answer choices with a big grin. Thought bubble: 'I KNOW THIS ONE.'\n\nPanel 2 (Escalation): Close-up of four answer choices. Beagle's paw points at all four simultaneously. His eyes are wide with enthusiasm. Dialogue: 'THEY ALL LOOK RIGHT.'\n\nPanel 3 (Hiccup): Beagle has crossed out answer A, then un-crossed it, then crossed it again. The paper is a mess of scribbles. His ear droops. Dialogue: 'WAIT. NO. MAYBE.'\n\nPanel 4 (Pivot): Athena leans in from the side, calm. She points at one crossed-out answer. Dialogue: 'WHICH ONE DID YOU RULE OUT FIRST?'\n\nPanel 5 (Beat): Beagle stares at the paper. Total silence. One ear up, one ear down. Eyes slightly unfocused. No dialogue.\n\nPanel 6 (Punchline): Beagle has re-circled his very first crossed-out answer. He looks at the reader with a small, tired smile. Dialogue: '...it was A the whole time.'\n\nReference the provided style image to maintain visual consistency in palette, illustration style, and layout.","input_urls":["https://tempfile.redpandaai.co/kieai/11402406/athena-refs/style_ref.jpg"],"aspect_ratio":"4:5"}}</t>
  </si>
  <si>
    <t>55601b4555971ab09d68f9addf478e72</t>
  </si>
  <si>
    <t>https://tempfile.aiquickdraw.com/images/chatgpt/file_0000000062c871f583f4b28cc42c5788.png</t>
  </si>
  <si>
    <t>1p4f93Rnw1CGlEAJ_LeSanR6v7ncEhEL5</t>
  </si>
  <si>
    <t>https://drive.google.com/uc?id=1p4f93Rnw1CGlEAJ_LeSanR6v7ncEhEL5</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</si>
  <si>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PROCESS OF ELIMINATION'
Panel 1 (Setup): Beagle sits at desk, test paper in front of him, pencil raised confidently. He's circling answer choices with a big grin. Thought bubble: 'I KNOW THIS ONE.'
Panel 2 (Escalation): Close-up of four answer choices. Beagle's paw points at all four simultaneously. His eyes are wide with enthusiasm. Dialogue: 'THEY ALL LOOK RIGHT.'
Panel 3 (Hiccup): Beagle has crossed out answer A, then un-crossed it, then crossed it again. The paper is a mess of scribbles. His ear droops. Dialogue: 'WAIT. NO. MAYBE.'
Panel 4 (Pivot): Athena leans in from the side, calm. She points at one crossed-out answer. Dialogue: 'WHICH ONE DID YOU RULE OUT FIRST?'
Panel 5 (Beat): Beagle stares at the paper. Total silence. One ear up, one ear down. Eyes slightly unfocused. No dialogue.
Panel 6 (Punchline): Beagle has re-circled his very first crossed-out answer. He looks at the reader with a small, tired smile. Dialogue: '...it was A the whole time.'
Reference the provided style image to maintain visual consistency in palette, illustration style, and layout.</t>
  </si>
  <si>
    <t>comic_012</t>
  </si>
  <si>
    <t>Title banner: 'SAT LOGIC — TIME MANAGEMENT'
Panel 1 (Setup): Beagle sits down at his desk with a fresh practice test. He cracks his knuckles dramatically. Clock on the wall shows 10:00. Dialogue: 'OKAY. FOCUS MODE.'
Panel 2 (Escalation): Beagle is deeply re-reading question 1. His face is scrunched in intense concentration. The clock now shows 10:08. Dialogue: 'JUST WANT TO MAKE SURE I UNDERSTAND EVERY WORD.'
Panel 3 (Hiccup): Wide shot — the test booklet is open to page 1, question 1. The clock shows 10:22. Beagle's pencil is snapped in half. Sweat drop on his forehead. Dialogue: 'ALMOST... ALMOST...'
Panel 4 (Pivot): Athena glances at the clock, then at Beagle. Soft expression. Dialogue: 'HOW MANY QUESTIONS ARE LEFT?'
Panel 5 (Beat): Beagle slowly turns and looks at the rest of the test. Many, many pages. His eyes go wide. The clock ticks visibly in the background.
Panel 6 (Punchline): Beagle is staring at the clock, pencil frozen mid-air, test untouched past question 1. He looks at the reader. Dialogue: '...they don't all get this much love.'</t>
  </si>
  <si>
    <t>Clock as visual anchor works well, time trap is universal student pain point, Athena's question lands naturally, punchline earns its moment</t>
  </si>
  <si>
    <t>2026-07-16T10:06:22.836-07:00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</si>
  <si>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TIME MANAGEMENT'\n\nPanel 1 (Setup): Beagle sits down at his desk with a fresh practice test. He cracks his knuckles dramatically. Clock on the wall shows 10:00. Dialogue: 'OKAY. FOCUS MODE.'\n\nPanel 2 (Escalation): Beagle is deeply re-reading question 1. His face is scrunched in intense concentration. The clock now shows 10:08. Dialogue: 'JUST WANT TO MAKE SURE I UNDERSTAND EVERY WORD.'\n\nPanel 3 (Hiccup): Wide shot — the test booklet is open to page 1, question 1. The clock shows 10:22. Beagle's pencil is snapped in half. Sweat drop on his forehead. Dialogue: 'ALMOST... ALMOST...'\n\nPanel 4 (Pivot): Athena glances at the clock, then at Beagle. Soft expression. Dialogue: 'HOW MANY QUESTIONS ARE LEFT?'\n\nPanel 5 (Beat): Beagle slowly turns and looks at the rest of the test. Many, many pages. His eyes go wide. The clock ticks visibly in the background.\n\nPanel 6 (Punchline): Beagle is staring at the clock, pencil frozen mid-air, test untouched past question 1. He looks at the reader. Dialogue: '...they don't all get this much love.'\n\nReference the provided style image to maintain visual consistency in palette, illustration style, and layout.","input_urls":["https://tempfile.redpandaai.co/kieai/11402406/athena-refs/style_ref.jpg"],"aspect_ratio":"4:5"}}</t>
  </si>
  <si>
    <t>5be927cb368c276b5b523b26684622e8</t>
  </si>
  <si>
    <t>https://tempfile.aiquickdraw.com/images/chatgpt/file_00000000006871fdbfba2290f0240cc0.png</t>
  </si>
  <si>
    <t>1ofXwCYyxnFw0LSlp9-qN-rYBKPxGIU5W</t>
  </si>
  <si>
    <t>https://drive.google.com/uc?id=1ofXwCYyxnFw0LSlp9-qN-rYBKPxGIU5W</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</si>
  <si>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TIME MANAGEMENT'
Panel 1 (Setup): Beagle sits down at his desk with a fresh practice test. He cracks his knuckles dramatically. Clock on the wall shows 10:00. Dialogue: 'OKAY. FOCUS MODE.'
Panel 2 (Escalation): Beagle is deeply re-reading question 1. His face is scrunched in intense concentration. The clock now shows 10:08. Dialogue: 'JUST WANT TO MAKE SURE I UNDERSTAND EVERY WORD.'
Panel 3 (Hiccup): Wide shot — the test booklet is open to page 1, question 1. The clock shows 10:22. Beagle's pencil is snapped in half. Sweat drop on his forehead. Dialogue: 'ALMOST... ALMOST...'
Panel 4 (Pivot): Athena glances at the clock, then at Beagle. Soft expression. Dialogue: 'HOW MANY QUESTIONS ARE LEFT?'
Panel 5 (Beat): Beagle slowly turns and looks at the rest of the test. Many, many pages. His eyes go wide. The clock ticks visibly in the background.
Panel 6 (Punchline): Beagle is staring at the clock, pencil frozen mid-air, test untouched past question 1. He looks at the reader. Dialogue: '...they don't all get this much love.'
Reference the provided style image to maintain visual consistency in palette, illustration style, and layout.</t>
  </si>
  <si>
    <t>comic_013</t>
  </si>
  <si>
    <t>Title banner: 'SAT LOGIC — READING COMPREHENSION'
Panel 1 (Setup): Beagle holds up a long reading passage, squinting. It is covered in dense text. He looks confident. Dialogue: 'READ THE PASSAGE FIRST. GOT IT.'
Panel 2 (Escalation): Beagle is deeply immersed, eyes scanning line by line. A small smile forms. Dialogue: 'THIS IS ACTUALLY INTERESTING.'
Panel 3 (Hiccup): Beagle has highlighted the ENTIRE passage in orange. Every single word. He holds up the page proudly. Dialogue: 'HIGHLIGHTED THE IMPORTANT PARTS.'
Panel 4 (Pivot): Athena looks at the fully orange page. One eyebrow slightly raised. Dialogue: 'WHICH PART ANSWERS THE QUESTION?'
Panel 5 (Beat): Beagle looks at the question. Looks at the passage. It is all orange. He slowly lowers his highlighter. No dialogue.
Panel 6 (Punchline): Beagle is holding the passage up to the light, squinting through the orange ink to find something. Looks at the reader sideways. Dialogue: '...everything was important.'</t>
  </si>
  <si>
    <t>All-orange highlighted page is a strong single visual gag, passage anxiety is real for students, Athena's pivot is clean and practical</t>
  </si>
  <si>
    <t>2026-07-16T10:06:22.839-07:00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</si>
  <si>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READING COMPREHENSION'\n\nPanel 1 (Setup): Beagle holds up a long reading passage, squinting. It is covered in dense text. He looks confident. Dialogue: 'READ THE PASSAGE FIRST. GOT IT.'\n\nPanel 2 (Escalation): Beagle is deeply immersed, eyes scanning line by line. A small smile forms. Dialogue: 'THIS IS ACTUALLY INTERESTING.'\n\nPanel 3 (Hiccup): Beagle has highlighted the ENTIRE passage in orange. Every single word. He holds up the page proudly. Dialogue: 'HIGHLIGHTED THE IMPORTANT PARTS.'\n\nPanel 4 (Pivot): Athena looks at the fully orange page. One eyebrow slightly raised. Dialogue: 'WHICH PART ANSWERS THE QUESTION?'\n\nPanel 5 (Beat): Beagle looks at the question. Looks at the passage. It is all orange. He slowly lowers his highlighter. No dialogue.\n\nPanel 6 (Punchline): Beagle is holding the passage up to the light, squinting through the orange ink to find something. Looks at the reader sideways. Dialogue: '...everything was important.'\n\nReference the provided style image to maintain visual consistency in palette, illustration style, and layout.","input_urls":["https://tempfile.redpandaai.co/kieai/11402406/athena-refs/style_ref.jpg"],"aspect_ratio":"4:5"}}</t>
  </si>
  <si>
    <t>358df04dd442b50130714f2ef0bd1f95</t>
  </si>
  <si>
    <t>https://tempfile.aiquickdraw.com/images/chatgpt/file_00000000dc3471f5b6165129487d1f68.png</t>
  </si>
  <si>
    <t>1twuX3OVwKgYy-Rqz4Cf8foLztdppGbJW</t>
  </si>
  <si>
    <t>https://drive.google.com/uc?id=1twuX3OVwKgYy-Rqz4Cf8foLztdppGbJW</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</si>
  <si>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READING COMPREHENSION'
Panel 1 (Setup): Beagle holds up a long reading passage, squinting. It is covered in dense text. He looks confident. Dialogue: 'READ THE PASSAGE FIRST. GOT IT.'
Panel 2 (Escalation): Beagle is deeply immersed, eyes scanning line by line. A small smile forms. Dialogue: 'THIS IS ACTUALLY INTERESTING.'
Panel 3 (Hiccup): Beagle has highlighted the ENTIRE passage in orange. Every single word. He holds up the page proudly. Dialogue: 'HIGHLIGHTED THE IMPORTANT PARTS.'
Panel 4 (Pivot): Athena looks at the fully orange page. One eyebrow slightly raised. Dialogue: 'WHICH PART ANSWERS THE QUESTION?'
Panel 5 (Beat): Beagle looks at the question. Looks at the passage. It is all orange. He slowly lowers his highlighter. No dialogue.
Panel 6 (Punchline): Beagle is holding the passage up to the light, squinting through the orange ink to find something. Looks at the reader sideways. Dialogue: '...everything was important.'
Reference the provided style image to maintain visual consistency in palette, illustration style, and layout.</t>
  </si>
  <si>
    <t>comic_014</t>
  </si>
  <si>
    <t>Title banner: 'SAT LOGIC — MATH NO CALCULATOR'
Panel 1 (Setup): Beagle sits down, cracks knuckles, looks at a math problem. Expression: pure confidence. Dialogue: 'NO CALCULATOR? NO PROBLEM.'
Panel 2 (Escalation): Beagle is doing long division in the margin. Numbers everywhere. His tongue sticks out slightly. Dialogue: 'JUST HAVE TO CARRY THE... uh...'
Panel 3 (Hiccup): The entire margin of the test is filled with scratch work. Crossed out numbers, arrows, small desperate drawings. Beagle's fur is slightly frazzled. Dialogue: 'ONE MORE TRY.'
Panel 4 (Pivot): Athena taps the original problem gently. Dialogue: 'IS THERE A SIMPLER SETUP?'
Panel 5 (Beat): Beagle stares at the problem with fresh eyes. The numbers reorganize in a small thought bubble above his head. One ear perks up. No dialogue.
Panel 6 (Punchline): Beagle has written one clean, short line of work and circled the answer. He stares at his margin full of chaos, then at the one clean line. Dialogue: '...it was three steps.'</t>
  </si>
  <si>
    <t>Chaotic margin math vs one clean line is a compelling visual contrast, no-calculator panic is authentic, setup and punchline are tight</t>
  </si>
  <si>
    <t>2026-07-16T10:06:22.842-07:00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</si>
  <si>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MATH NO CALCULATOR'\n\nPanel 1 (Setup): Beagle sits down, cracks knuckles, looks at a math problem. Expression: pure confidence. Dialogue: 'NO CALCULATOR? NO PROBLEM.'\n\nPanel 2 (Escalation): Beagle is doing long division in the margin. Numbers everywhere. His tongue sticks out slightly. Dialogue: 'JUST HAVE TO CARRY THE... uh...'\n\nPanel 3 (Hiccup): The entire margin of the test is filled with scratch work. Crossed out numbers, arrows, small desperate drawings. Beagle's fur is slightly frazzled. Dialogue: 'ONE MORE TRY.'\n\nPanel 4 (Pivot): Athena taps the original problem gently. Dialogue: 'IS THERE A SIMPLER SETUP?'\n\nPanel 5 (Beat): Beagle stares at the problem with fresh eyes. The numbers reorganize in a small thought bubble above his head. One ear perks up. No dialogue.\n\nPanel 6 (Punchline): Beagle has written one clean, short line of work and circled the answer. He stares at his margin full of chaos, then at the one clean line. Dialogue: '...it was three steps.'\n\nReference the provided style image to maintain visual consistency in palette, illustration style, and layout.","input_urls":["https://tempfile.redpandaai.co/kieai/11402406/athena-refs/style_ref.jpg"],"aspect_ratio":"4:5"}}</t>
  </si>
  <si>
    <t>dc6f863f03d3cd699d9117cb2d1005af</t>
  </si>
  <si>
    <t>https://tempfile.aiquickdraw.com/images/chatgpt/file_0000000011f471fb98023725648c4745.png</t>
  </si>
  <si>
    <t>1c0C21Vmfq_6CNzqziPBtPQNDWrYqOMR6</t>
  </si>
  <si>
    <t>https://drive.google.com/uc?id=1c0C21Vmfq_6CNzqziPBtPQNDWrYqOMR6</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</si>
  <si>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MATH NO CALCULATOR'
Panel 1 (Setup): Beagle sits down, cracks knuckles, looks at a math problem. Expression: pure confidence. Dialogue: 'NO CALCULATOR? NO PROBLEM.'
Panel 2 (Escalation): Beagle is doing long division in the margin. Numbers everywhere. His tongue sticks out slightly. Dialogue: 'JUST HAVE TO CARRY THE... uh...'
Panel 3 (Hiccup): The entire margin of the test is filled with scratch work. Crossed out numbers, arrows, small desperate drawings. Beagle's fur is slightly frazzled. Dialogue: 'ONE MORE TRY.'
Panel 4 (Pivot): Athena taps the original problem gently. Dialogue: 'IS THERE A SIMPLER SETUP?'
Panel 5 (Beat): Beagle stares at the problem with fresh eyes. The numbers reorganize in a small thought bubble above his head. One ear perks up. No dialogue.
Panel 6 (Punchline): Beagle has written one clean, short line of work and circled the answer. He stares at his margin full of chaos, then at the one clean line. Dialogue: '...it was three steps.'
Reference the provided style image to maintain visual consistency in palette, illustration style, and layout.</t>
  </si>
  <si>
    <t>comic_015</t>
  </si>
  <si>
    <t>Title banner: 'SAT LOGIC — THE EASY QUESTION'
Panel 1 (Setup): Beagle flips to a new section and spots a question. His eyes light up. Dialogue: 'OH. THIS ONE IS EASY.'
Panel 2 (Escalation): Beagle reads more carefully. His smile stays. He taps the page knowingly. Dialogue: 'TOO EASY. THEY'RE TESTING SOMETHING.'
Panel 3 (Hiccup): Beagle has now written a full paragraph of reasoning in the margin, drawn a diagram, and crossed out the obvious answer. His eyes are wild. Dialogue: 'THE REAL ANSWER IS HIDDEN.'
Panel 4 (Pivot): Athena looks at the question, then at him. Calm voice. Dialogue: 'WHAT DID IT ACTUALLY ASK?'
Panel 5 (Beat): Beagle re-reads the question. Short. Straightforward. His pencil hovers. A small bead of sweat. No dialogue.
Panel 6 (Punchline): Beagle has erased everything and circled the original obvious answer. He slumps slightly. Looks at reader. Dialogue: '...it was just easy.'</t>
  </si>
  <si>
    <t>Overthinking easy questions is a genuinely painful and funny student experience, diagram in margin is a good visual escalation, Athena's redirect is natural</t>
  </si>
  <si>
    <t>2026-07-16T10:06:22.845-07:00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</si>
  <si>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EASY QUESTION'\n\nPanel 1 (Setup): Beagle flips to a new section and spots a question. His eyes light up. Dialogue: 'OH. THIS ONE IS EASY.'\n\nPanel 2 (Escalation): Beagle reads more carefully. His smile stays. He taps the page knowingly. Dialogue: 'TOO EASY. THEY'RE TESTING SOMETHING.'\n\nPanel 3 (Hiccup): Beagle has now written a full paragraph of reasoning in the margin, drawn a diagram, and crossed out the obvious answer. His eyes are wild. Dialogue: 'THE REAL ANSWER IS HIDDEN.'\n\nPanel 4 (Pivot): Athena looks at the question, then at him. Calm voice. Dialogue: 'WHAT DID IT ACTUALLY ASK?'\n\nPanel 5 (Beat): Beagle re-reads the question. Short. Straightforward. His pencil hovers. A small bead of sweat. No dialogue.\n\nPanel 6 (Punchline): Beagle has erased everything and circled the original obvious answer. He slumps slightly. Looks at reader. Dialogue: '...it was just easy.'\n\nReference the provided style image to maintain visual consistency in palette, illustration style, and layout.","input_urls":["https://tempfile.redpandaai.co/kieai/11402406/athena-refs/style_ref.jpg"],"aspect_ratio":"4:5"}}</t>
  </si>
  <si>
    <t>563def8ea149834a5b650b6da0e7d736</t>
  </si>
  <si>
    <t>https://tempfile.aiquickdraw.com/images/chatgpt/file_00000000850871fbaac9337ab0a29f93.png</t>
  </si>
  <si>
    <t>1E7s71Q_-HEV5g86nzycqXBUZeJ-unEln</t>
  </si>
  <si>
    <t>https://drive.google.com/uc?id=1E7s71Q_-HEV5g86nzycqXBUZeJ-unEln</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</si>
  <si>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EASY QUESTION'
Panel 1 (Setup): Beagle flips to a new section and spots a question. His eyes light up. Dialogue: 'OH. THIS ONE IS EASY.'
Panel 2 (Escalation): Beagle reads more carefully. His smile stays. He taps the page knowingly. Dialogue: 'TOO EASY. THEY'RE TESTING SOMETHING.'
Panel 3 (Hiccup): Beagle has now written a full paragraph of reasoning in the margin, drawn a diagram, and crossed out the obvious answer. His eyes are wild. Dialogue: 'THE REAL ANSWER IS HIDDEN.'
Panel 4 (Pivot): Athena looks at the question, then at him. Calm voice. Dialogue: 'WHAT DID IT ACTUALLY ASK?'
Panel 5 (Beat): Beagle re-reads the question. Short. Straightforward. His pencil hovers. A small bead of sweat. No dialogue.
Panel 6 (Punchline): Beagle has erased everything and circled the original obvious answer. He slumps slightly. Looks at reader. Dialogue: '...it was just easy.'
Reference the provided style image to maintain visual consistency in palette, illustration style, and layout.</t>
  </si>
  <si>
    <t>comic_016</t>
  </si>
  <si>
    <t>Title banner: 'SAT LOGIC — VOCABULARY IN CONTEXT'
Panel 1 (Setup): Beagle reads a question asking for the meaning of the word 'reserved' in a passage. He grins. Dialogue: 'I KNOW THIS WORD.'
Panel 2 (Escalation): Beagle writes confidently: 'RESERVED = SAVED A SEAT.' He taps it twice. Dialogue: 'LIKE A RESERVATION. BOOM.'
Panel 3 (Hiccup): Beagle looks at the answer choices. None of them say anything about seats or restaurants. His ears flatten. Dialogue: 'WAIT...'
Panel 4 (Pivot): Athena points back to the passage, one finger on the sentence around the word. Dialogue: 'WHAT DOES THE SENTENCE SAY?'
Panel 5 (Beat): Beagle reads the sentence slowly. The word 'reserved' is describing a person's personality — quiet, distant. His eyes shift. No dialogue.
Panel 6 (Punchline): Beagle is staring at the passage with a slightly betrayed expression. He looks at the reader. Dialogue: '...the word lied to me.'</t>
  </si>
  <si>
    <t>Vocabulary-in-context trap is a real SAT pitfall, restaurant reservation misdirect is clever and fresh, punchline lands with personality</t>
  </si>
  <si>
    <t>2026-07-16T10:06:22.848-07:00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</si>
  <si>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VOCABULARY IN CONTEXT'\n\nPanel 1 (Setup): Beagle reads a question asking for the meaning of the word 'reserved' in a passage. He grins. Dialogue: 'I KNOW THIS WORD.'\n\nPanel 2 (Escalation): Beagle writes confidently: 'RESERVED = SAVED A SEAT.' He taps it twice. Dialogue: 'LIKE A RESERVATION. BOOM.'\n\nPanel 3 (Hiccup): Beagle looks at the answer choices. None of them say anything about seats or restaurants. His ears flatten. Dialogue: 'WAIT...'\n\nPanel 4 (Pivot): Athena points back to the passage, one finger on the sentence around the word. Dialogue: 'WHAT DOES THE SENTENCE SAY?'\n\nPanel 5 (Beat): Beagle reads the sentence slowly. The word 'reserved' is describing a person's personality — quiet, distant. His eyes shift. No dialogue.\n\nPanel 6 (Punchline): Beagle is staring at the passage with a slightly betrayed expression. He looks at the reader. Dialogue: '...the word lied to me.'\n\nReference the provided style image to maintain visual consistency in palette, illustration style, and layout.","input_urls":["https://tempfile.redpandaai.co/kieai/11402406/athena-refs/style_ref.jpg"],"aspect_ratio":"4:5"}}</t>
  </si>
  <si>
    <t>9e5f9a563350036050bb5a9707fe3621</t>
  </si>
  <si>
    <t>https://tempfile.aiquickdraw.com/images/chatgpt/file_00000000333c71f5866e5fb33d323a18.png</t>
  </si>
  <si>
    <t>1AbVaR6fq5L_CV5FG1XP8qmRX5shglTBR</t>
  </si>
  <si>
    <t>https://drive.google.com/uc?id=1AbVaR6fq5L_CV5FG1XP8qmRX5shglTBR</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</si>
  <si>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VOCABULARY IN CONTEXT'
Panel 1 (Setup): Beagle reads a question asking for the meaning of the word 'reserved' in a passage. He grins. Dialogue: 'I KNOW THIS WORD.'
Panel 2 (Escalation): Beagle writes confidently: 'RESERVED = SAVED A SEAT.' He taps it twice. Dialogue: 'LIKE A RESERVATION. BOOM.'
Panel 3 (Hiccup): Beagle looks at the answer choices. None of them say anything about seats or restaurants. His ears flatten. Dialogue: 'WAIT...'
Panel 4 (Pivot): Athena points back to the passage, one finger on the sentence around the word. Dialogue: 'WHAT DOES THE SENTENCE SAY?'
Panel 5 (Beat): Beagle reads the sentence slowly. The word 'reserved' is describing a person's personality — quiet, distant. His eyes shift. No dialogue.
Panel 6 (Punchline): Beagle is staring at the passage with a slightly betrayed expression. He looks at the reader. Dialogue: '...the word lied to me.'
Reference the provided style image to maintain visual consistency in palette, illustration style, and layout.</t>
  </si>
  <si>
    <t>comic_017</t>
  </si>
  <si>
    <t>Title banner: 'SAT LOGIC — CHECKING YOUR WORK'
Panel 1 (Setup): Beagle finishes his last answer and slams the pencil down triumphantly. Clock shows 5 minutes remaining. Dialogue: 'DONE. WITH TIME TO SPARE.'
Panel 2 (Escalation): Beagle leans back in his chair, arms behind his head, feet up. He glances at the clock. 4 minutes. Dialogue: 'I SHOULD PROBABLY CHECK...'
Panel 3 (Hiccup): Beagle is now staring at question 3, which he was sure about. He's crossed out his answer. Then re-answered. Then crossed that out. Clock: 2 minutes. Dialogue: 'ACTUALLY WAIT.'
Panel 4 (Pivot): Athena puts a calm hand on the test. Dialogue: 'WAS YOUR FIRST ANSWER WRONG?'
Panel 5 (Beat): Beagle looks at the original answer, still faintly visible under the erasing. It was correct. The eraser crumbles in his paw. No dialogue.
Panel 6 (Punchline): Beagle is staring at question 3, now with three different answers scrawled and crossed out. He covers it with his paw and looks at the reader. Dialogue: '...i should have left it alone.'</t>
  </si>
  <si>
    <t>First-answer regret is painfully universal, eraser crumbling is a strong visual beat, Athena's question is tactful not preachy</t>
  </si>
  <si>
    <t>2026-07-16T10:06:22.850-07:00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</si>
  <si>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CHECKING YOUR WORK'\n\nPanel 1 (Setup): Beagle finishes his last answer and slams the pencil down triumphantly. Clock shows 5 minutes remaining. Dialogue: 'DONE. WITH TIME TO SPARE.'\n\nPanel 2 (Escalation): Beagle leans back in his chair, arms behind his head, feet up. He glances at the clock. 4 minutes. Dialogue: 'I SHOULD PROBABLY CHECK...'\n\nPanel 3 (Hiccup): Beagle is now staring at question 3, which he was sure about. He's crossed out his answer. Then re-answered. Then crossed that out. Clock: 2 minutes. Dialogue: 'ACTUALLY WAIT.'\n\nPanel 4 (Pivot): Athena puts a calm hand on the test. Dialogue: 'WAS YOUR FIRST ANSWER WRONG?'\n\nPanel 5 (Beat): Beagle looks at the original answer, still faintly visible under the erasing. It was correct. The eraser crumbles in his paw. No dialogue.\n\nPanel 6 (Punchline): Beagle is staring at question 3, now with three different answers scrawled and crossed out. He covers it with his paw and looks at the reader. Dialogue: '...i should have left it alone.'\n\nReference the provided style image to maintain visual consistency in palette, illustration style, and layout.","input_urls":["https://tempfile.redpandaai.co/kieai/11402406/athena-refs/style_ref.jpg"],"aspect_ratio":"4:5"}}</t>
  </si>
  <si>
    <t>c8b87ef17a5c81771cd944fad4a45780</t>
  </si>
  <si>
    <t>https://tempfile.aiquickdraw.com/images/chatgpt/file_000000002a7471f5870a2576ebd0683d.png</t>
  </si>
  <si>
    <t>1xqUduS_awunc7GddEZLuc2bRW_1oXbGh</t>
  </si>
  <si>
    <t>https://drive.google.com/uc?id=1xqUduS_awunc7GddEZLuc2bRW_1oXbGh</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</si>
  <si>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CHECKING YOUR WORK'
Panel 1 (Setup): Beagle finishes his last answer and slams the pencil down triumphantly. Clock shows 5 minutes remaining. Dialogue: 'DONE. WITH TIME TO SPARE.'
Panel 2 (Escalation): Beagle leans back in his chair, arms behind his head, feet up. He glances at the clock. 4 minutes. Dialogue: 'I SHOULD PROBABLY CHECK...'
Panel 3 (Hiccup): Beagle is now staring at question 3, which he was sure about. He's crossed out his answer. Then re-answered. Then crossed that out. Clock: 2 minutes. Dialogue: 'ACTUALLY WAIT.'
Panel 4 (Pivot): Athena puts a calm hand on the test. Dialogue: 'WAS YOUR FIRST ANSWER WRONG?'
Panel 5 (Beat): Beagle looks at the original answer, still faintly visible under the erasing. It was correct. The eraser crumbles in his paw. No dialogue.
Panel 6 (Punchline): Beagle is staring at question 3, now with three different answers scrawled and crossed out. He covers it with his paw and looks at the reader. Dialogue: '...i should have left it alone.'
Reference the provided style image to maintain visual consistency in palette, illustration style, and layout.</t>
  </si>
  <si>
    <t>comic_018</t>
  </si>
  <si>
    <t>Title banner: 'SAT LOGIC — THE GRAPH QUESTION'
Panel 1 (Setup): Beagle flips to a data interpretation question with a bar graph. He rolls up his sleeves. Dialogue: 'I LOVE GRAPHS. VERY VISUAL.'
Panel 2 (Escalation): Beagle is analyzing the graph intensely, pointing at every bar with his pencil. Dialogue: 'THE TALLEST BAR IS THE ANSWER. ALWAYS.'
Panel 3 (Hiccup): Beagle circles the tallest bar confidently. Then reads the question. The question asks about the LOWEST value in a specific year. His ear twitches. Dialogue: 'OH.'
Panel 4 (Pivot): Athena gently taps the question stem. Dialogue: 'WHAT IS IT ASKING FOR?'
Panel 5 (Beat): Beagle re-reads the question word by word. His eyes move slowly left to right. His pencil hovers over a completely different bar. No dialogue.
Panel 6 (Punchline): Beagle has circled the correct — much smaller — bar. He stares at his original circle on the tall bar, then at the reader. Dialogue: '...i should read the question first.'</t>
  </si>
  <si>
    <t>Tallest bar assumption is a genuine student mistake, graph panels are visually distinct, the pivot back to question stem is practical and non-condescending</t>
  </si>
  <si>
    <t>2026-07-16T10:06:22.853-07:00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</si>
  <si>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GRAPH QUESTION'\n\nPanel 1 (Setup): Beagle flips to a data interpretation question with a bar graph. He rolls up his sleeves. Dialogue: 'I LOVE GRAPHS. VERY VISUAL.'\n\nPanel 2 (Escalation): Beagle is analyzing the graph intensely, pointing at every bar with his pencil. Dialogue: 'THE TALLEST BAR IS THE ANSWER. ALWAYS.'\n\nPanel 3 (Hiccup): Beagle circles the tallest bar confidently. Then reads the question. The question asks about the LOWEST value in a specific year. His ear twitches. Dialogue: 'OH.'\n\nPanel 4 (Pivot): Athena gently taps the question stem. Dialogue: 'WHAT IS IT ASKING FOR?'\n\nPanel 5 (Beat): Beagle re-reads the question word by word. His eyes move slowly left to right. His pencil hovers over a completely different bar. No dialogue.\n\nPanel 6 (Punchline): Beagle has circled the correct — much smaller — bar. He stares at his original circle on the tall bar, then at the reader. Dialogue: '...i should read the question first.'\n\nReference the provided style image to maintain visual consistency in palette, illustration style, and layout.","input_urls":["https://tempfile.redpandaai.co/kieai/11402406/athena-refs/style_ref.jpg"],"aspect_ratio":"4:5"}}</t>
  </si>
  <si>
    <t>c08fc2743c93ee7e9f1ef5722beedd8c</t>
  </si>
  <si>
    <t>https://tempfile.aiquickdraw.com/images/chatgpt/file_0000000044b8722f8fbe61d927503710.png</t>
  </si>
  <si>
    <t>1DlQa4LcFBfNAQUjQb0DHqfYbyStlLgLc</t>
  </si>
  <si>
    <t>https://drive.google.com/uc?id=1DlQa4LcFBfNAQUjQb0DHqfYbyStlLgLc</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</si>
  <si>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GRAPH QUESTION'
Panel 1 (Setup): Beagle flips to a data interpretation question with a bar graph. He rolls up his sleeves. Dialogue: 'I LOVE GRAPHS. VERY VISUAL.'
Panel 2 (Escalation): Beagle is analyzing the graph intensely, pointing at every bar with his pencil. Dialogue: 'THE TALLEST BAR IS THE ANSWER. ALWAYS.'
Panel 3 (Hiccup): Beagle circles the tallest bar confidently. Then reads the question. The question asks about the LOWEST value in a specific year. His ear twitches. Dialogue: 'OH.'
Panel 4 (Pivot): Athena gently taps the question stem. Dialogue: 'WHAT IS IT ASKING FOR?'
Panel 5 (Beat): Beagle re-reads the question word by word. His eyes move slowly left to right. His pencil hovers over a completely different bar. No dialogue.
Panel 6 (Punchline): Beagle has circled the correct — much smaller — bar. He stares at his original circle on the tall bar, then at the reader. Dialogue: '...i should read the question first.'
Reference the provided style image to maintain visual consistency in palette, illustration style, and layout.</t>
  </si>
  <si>
    <t>comic_019</t>
  </si>
  <si>
    <t>Title banner: 'SAT LOGIC — SKIPPING AND COMING BACK'
Panel 1 (Setup): Beagle hits a hard question, pauses confidently, and marks it with a star. Dialogue: 'SKIP IT. COME BACK LATER. SMART STRATEGY.'
Panel 2 (Escalation): Beagle breezes through the next several questions, marking stars generously. Stars appear on question after question. Dialogue: 'AND THIS ONE... AND THIS ONE...'
Panel 3 (Hiccup): Beagle flips back to go through starred questions. The entire test is covered in stars. Every. Single. Question. His jaw drops. Dialogue: 'ALL OF THEM?'
Panel 4 (Pivot): Athena looks at the sea of stars, then at Beagle. Very gently. Dialogue: 'WHICH ONES CAN YOU ACTUALLY DO?'
Panel 5 (Beat): Beagle slowly scans the test. One question — just one — does not have a star. He stares at it. No dialogue.
Panel 6 (Punchline): Beagle is pointing at the one un-starred question with a slightly hollow look of victory. He glances at the reader. Dialogue: '...got that one though.'</t>
  </si>
  <si>
    <t>Star-covered test is a great visual punchline payoff, the one un-starred question hollow victory is genuinely funny, strategy-gone-wrong is fresh framing</t>
  </si>
  <si>
    <t>2026-07-16T10:06:22.856-07:00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</si>
  <si>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SKIPPING AND COMING BACK'\n\nPanel 1 (Setup): Beagle hits a hard question, pauses confidently, and marks it with a star. Dialogue: 'SKIP IT. COME BACK LATER. SMART STRATEGY.'\n\nPanel 2 (Escalation): Beagle breezes through the next several questions, marking stars generously. Stars appear on question after question. Dialogue: 'AND THIS ONE... AND THIS ONE...'\n\nPanel 3 (Hiccup): Beagle flips back to go through starred questions. The entire test is covered in stars. Every. Single. Question. His jaw drops. Dialogue: 'ALL OF THEM?'\n\nPanel 4 (Pivot): Athena looks at the sea of stars, then at Beagle. Very gently. Dialogue: 'WHICH ONES CAN YOU ACTUALLY DO?'\n\nPanel 5 (Beat): Beagle slowly scans the test. One question — just one — does not have a star. He stares at it. No dialogue.\n\nPanel 6 (Punchline): Beagle is pointing at the one un-starred question with a slightly hollow look of victory. He glances at the reader. Dialogue: '...got that one though.'\n\nReference the provided style image to maintain visual consistency in palette, illustration style, and layout.","input_urls":["https://tempfile.redpandaai.co/kieai/11402406/athena-refs/style_ref.jpg"],"aspect_ratio":"4:5"}}</t>
  </si>
  <si>
    <t>c51602f84ac8744900f95df730358c7f</t>
  </si>
  <si>
    <t>https://tempfile.aiquickdraw.com/images/chatgpt/file_000000001cc071fd9be885182b132e50.png</t>
  </si>
  <si>
    <t>1vn_i7DYUWLlJC0xtuZgv7xPgc2Eq5K--</t>
  </si>
  <si>
    <t>https://drive.google.com/uc?id=1vn_i7DYUWLlJC0xtuZgv7xPgc2Eq5K--</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</si>
  <si>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SKIPPING AND COMING BACK'
Panel 1 (Setup): Beagle hits a hard question, pauses confidently, and marks it with a star. Dialogue: 'SKIP IT. COME BACK LATER. SMART STRATEGY.'
Panel 2 (Escalation): Beagle breezes through the next several questions, marking stars generously. Stars appear on question after question. Dialogue: 'AND THIS ONE... AND THIS ONE...'
Panel 3 (Hiccup): Beagle flips back to go through starred questions. The entire test is covered in stars. Every. Single. Question. His jaw drops. Dialogue: 'ALL OF THEM?'
Panel 4 (Pivot): Athena looks at the sea of stars, then at Beagle. Very gently. Dialogue: 'WHICH ONES CAN YOU ACTUALLY DO?'
Panel 5 (Beat): Beagle slowly scans the test. One question — just one — does not have a star. He stares at it. No dialogue.
Panel 6 (Punchline): Beagle is pointing at the one un-starred question with a slightly hollow look of victory. He glances at the reader. Dialogue: '...got that one though.'
Reference the provided style image to maintain visual consistency in palette, illustration style, and layout.</t>
  </si>
  <si>
    <t>BE_011</t>
  </si>
  <si>
    <t>Title panel: 'Why does the SAT feel so much harder than school tests?'
Panel 1 — The Beagle sits upright at a desk, chest puffed, pencil tucked behind ear, looking confident. A stack of school tests with big red A's sits beside him. Text: 'School tests check what you memorized.'
Panel 2 — Close-up of the Beagle's face, brow furrowed, staring at an SAT booklet. His expression shifts from confidence to quiet confusion. Text: 'The SAT tests how you think.'
Panel 3 — Side profile. The Beagle holds a pencil up to his chin, eyes scanning a long reading passage. A thought bubble floats above with a tiny tangled knot inside. Text: 'It hides the answer inside a wall of words.'
Panel 4 — Over-the-shoulder shot. The Beagle is circling a math problem. Four answer choices visible. Three of them look almost identical. Text: 'It gives you traps dressed up as choices.'
Panel 5 — The Beagle slumped forward on the desk, chin resting on crossed paws, timer on the table ticking down. Eyes still open, still trying. Text: 'And it rushes you the whole time.'
Panel 6 — Medium shot. The Beagle sits up slightly, a small lightbulb doodle appearing near his head. He is looking at the same SAT page, but now with a highlighter in paw. Text: 'But once you learn its patterns... it starts making sense.'
Panel 7 — Final panel. The Beagle looks directly at the viewer, soft smile, one paw resting gently on the closed SAT booklet. Gold medallion catches the light. Text: 'It is not smarter than you. It is just a different game.'</t>
  </si>
  <si>
    <t>Visually concrete panel-by-panel progression, relatable emotional arc for stuck students, fresh framing of SAT as 'a different game' rather than a measure of intelligence</t>
  </si>
  <si>
    <t>2026-07-16T10:17:38.984-07:00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</si>
  <si>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SAT feel so much harder than school tests?'\n\nPanel 1 — The Beagle sits upright at a desk, chest puffed, pencil tucked behind ear, looking confident. A stack of school tests with big red A's sits beside him. Text: 'School tests check what you memorized.'\n\nPanel 2 — Close-up of the Beagle's face, brow furrowed, staring at an SAT booklet. His expression shifts from confidence to quiet confusion. Text: 'The SAT tests how you think.'\n\nPanel 3 — Side profile. The Beagle holds a pencil up to his chin, eyes scanning a long reading passage. A thought bubble floats above with a tiny tangled knot inside. Text: 'It hides the answer inside a wall of words.'\n\nPanel 4 — Over-the-shoulder shot. The Beagle is circling a math problem. Four answer choices visible. Three of them look almost identical. Text: 'It gives you traps dressed up as choices.'\n\nPanel 5 — The Beagle slumped forward on the desk, chin resting on crossed paws, timer on the table ticking down. Eyes still open, still trying. Text: 'And it rushes you the whole time.'\n\nPanel 6 — Medium shot. The Beagle sits up slightly, a small lightbulb doodle appearing near his head. He is looking at the same SAT page, but now with a highlighter in paw. Text: 'But once you learn its patterns... it starts making sense.'\n\nPanel 7 — Final panel. The Beagle looks directly at the viewer, soft smile, one paw resting gently on the closed SAT booklet. Gold medallion catches the light. Text: 'It is not smarter than you. It is just a different game.'\n\nReference the provided style image to maintain visual consistency in palette, illustration style, and layout.","input_urls":["https://tempfile.redpandaai.co/kieai/11402406/athena-refs/style_ref.jpg"],"aspect_ratio":"4:5"}}</t>
  </si>
  <si>
    <t>e38a79bf2337f7d2331964f4a1241839</t>
  </si>
  <si>
    <t>https://tempfile.aiquickdraw.com/images/chatgpt/file_00000000e500722fb5c7f13f76f5eb46.png</t>
  </si>
  <si>
    <t>1T72vne-xBZEbnSSkyTor_PAhOiOtJyNp</t>
  </si>
  <si>
    <t>https://drive.google.com/uc?id=1T72vne-xBZEbnSSkyTor_PAhOiOtJyNp</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</si>
  <si>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SAT feel so much harder than school tests?'
Panel 1 — The Beagle sits upright at a desk, chest puffed, pencil tucked behind ear, looking confident. A stack of school tests with big red A's sits beside him. Text: 'School tests check what you memorized.'
Panel 2 — Close-up of the Beagle's face, brow furrowed, staring at an SAT booklet. His expression shifts from confidence to quiet confusion. Text: 'The SAT tests how you think.'
Panel 3 — Side profile. The Beagle holds a pencil up to his chin, eyes scanning a long reading passage. A thought bubble floats above with a tiny tangled knot inside. Text: 'It hides the answer inside a wall of words.'
Panel 4 — Over-the-shoulder shot. The Beagle is circling a math problem. Four answer choices visible. Three of them look almost identical. Text: 'It gives you traps dressed up as choices.'
Panel 5 — The Beagle slumped forward on the desk, chin resting on crossed paws, timer on the table ticking down. Eyes still open, still trying. Text: 'And it rushes you the whole time.'
Panel 6 — Medium shot. The Beagle sits up slightly, a small lightbulb doodle appearing near his head. He is looking at the same SAT page, but now with a highlighter in paw. Text: 'But once you learn its patterns... it starts making sense.'
Panel 7 — Final panel. The Beagle looks directly at the viewer, soft smile, one paw resting gently on the closed SAT booklet. Gold medallion catches the light. Text: 'It is not smarter than you. It is just a different game.'
Reference the provided style image to maintain visual consistency in palette, illustration style, and layout.</t>
  </si>
  <si>
    <t>BE_012</t>
  </si>
  <si>
    <t>Title panel: 'Why do you lose points on questions you actually know?'
Panel 1 — The Beagle is mid-stride, tail up, looking energetic and eager. A practice test sits open on the desk. Text: 'You studied hard. You feel ready.'
Panel 2 — Close-up of the Beagle's eyes scanning a question fast. A small blur effect suggests speed. Text: 'You read the question quickly and pick the answer that feels right.'
Panel 3 — Overhead desk view. The Beagle circles an answer confidently, pencil pressed hard. A small red X appears faintly nearby, foreshadowing the mistake. Text: 'It feels obvious. So you move on.'
Panel 4 — The Beagle holds a graded test. His ears droop. The question he rushed is circled in red. He knew the content. The margin note says 'read carefully.' Text: 'But the question asked for the OPPOSITE of what you answered.'
Panel 5 — Side profile. The Beagle stares at the wall, processing. A small thought bubble shows the tricky word 'EXCEPT' underlined in the question he missed. Text: 'The SAT hides its traps in one single word.'
Panel 6 — The Beagle is back at the desk, this time moving slower, highlighting words like 'NOT,' 'EXCEPT,' and 'BEST.' His expression is calm and focused. Text: 'Slow down on the question. Speed up on the answer.'
Panel 7 — Final panel. The Beagle looks at the viewer, tilting his head knowingly, pencil resting between two paws. Text: 'The test does not trick the student who actually reads it.'</t>
  </si>
  <si>
    <t>Highly specific and visual — the EXCEPT trap is a real pain point, slow-down-on-the-question advice is actionable, panel progression is clean and renderable</t>
  </si>
  <si>
    <t>2026-07-16T10:17:38.987-07:00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</si>
  <si>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lose points on questions you actually know?'\n\nPanel 1 — The Beagle is mid-stride, tail up, looking energetic and eager. A practice test sits open on the desk. Text: 'You studied hard. You feel ready.'\n\nPanel 2 — Close-up of the Beagle's eyes scanning a question fast. A small blur effect suggests speed. Text: 'You read the question quickly and pick the answer that feels right.'\n\nPanel 3 — Overhead desk view. The Beagle circles an answer confidently, pencil pressed hard. A small red X appears faintly nearby, foreshadowing the mistake. Text: 'It feels obvious. So you move on.'\n\nPanel 4 — The Beagle holds a graded test. His ears droop. The question he rushed is circled in red. He knew the content. The margin note says 'read carefully.' Text: 'But the question asked for the OPPOSITE of what you answered.'\n\nPanel 5 — Side profile. The Beagle stares at the wall, processing. A small thought bubble shows the tricky word 'EXCEPT' underlined in the question he missed. Text: 'The SAT hides its traps in one single word.'\n\nPanel 6 — The Beagle is back at the desk, this time moving slower, highlighting words like 'NOT,' 'EXCEPT,' and 'BEST.' His expression is calm and focused. Text: 'Slow down on the question. Speed up on the answer.'\n\nPanel 7 — Final panel. The Beagle looks at the viewer, tilting his head knowingly, pencil resting between two paws. Text: 'The test does not trick the student who actually reads it.'\n\nReference the provided style image to maintain visual consistency in palette, illustration style, and layout.","input_urls":["https://tempfile.redpandaai.co/kieai/11402406/athena-refs/style_ref.jpg"],"aspect_ratio":"4:5"}}</t>
  </si>
  <si>
    <t>e107a767d8ef1ce39f30b0f110e442ae</t>
  </si>
  <si>
    <t>https://tempfile.aiquickdraw.com/images/chatgpt/file_00000000e18871f6b9ee581182ed194d.png</t>
  </si>
  <si>
    <t>1bf_t3vogWRHTabX4kt6HS1jT8zkzvbJF</t>
  </si>
  <si>
    <t>https://drive.google.com/uc?id=1bf_t3vogWRHTabX4kt6HS1jT8zkzvbJF</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</si>
  <si>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lose points on questions you actually know?'
Panel 1 — The Beagle is mid-stride, tail up, looking energetic and eager. A practice test sits open on the desk. Text: 'You studied hard. You feel ready.'
Panel 2 — Close-up of the Beagle's eyes scanning a question fast. A small blur effect suggests speed. Text: 'You read the question quickly and pick the answer that feels right.'
Panel 3 — Overhead desk view. The Beagle circles an answer confidently, pencil pressed hard. A small red X appears faintly nearby, foreshadowing the mistake. Text: 'It feels obvious. So you move on.'
Panel 4 — The Beagle holds a graded test. His ears droop. The question he rushed is circled in red. He knew the content. The margin note says 'read carefully.' Text: 'But the question asked for the OPPOSITE of what you answered.'
Panel 5 — Side profile. The Beagle stares at the wall, processing. A small thought bubble shows the tricky word 'EXCEPT' underlined in the question he missed. Text: 'The SAT hides its traps in one single word.'
Panel 6 — The Beagle is back at the desk, this time moving slower, highlighting words like 'NOT,' 'EXCEPT,' and 'BEST.' His expression is calm and focused. Text: 'Slow down on the question. Speed up on the answer.'
Panel 7 — Final panel. The Beagle looks at the viewer, tilting his head knowingly, pencil resting between two paws. Text: 'The test does not trick the student who actually reads it.'
Reference the provided style image to maintain visual consistency in palette, illustration style, and layout.</t>
  </si>
  <si>
    <t>BE_013</t>
  </si>
  <si>
    <t>Title panel: 'Why is the reading section so exhausting?'
Panel 1 — The Beagle opens the SAT booklet to the reading section. His eyes go wide at the length of a passage. Text: 'The passages are long. The questions are specific.'
Panel 2 — Close-up of the Beagle's face, eyes slightly glazed, re-reading the same line three times. A tiny swirling doodle floats near his temple. Text: 'And your brain is doing two things at once — reading AND hunting for answers.'
Panel 3 — Medium shot. The Beagle sets the pencil down and just reads. No circling, no underlining yet. Text: 'Most students try to answer while they read. That splits your focus.'
Panel 4 — Side profile. The Beagle finishes the passage first, then goes back to answer. His posture is more relaxed. Text: 'Read the whole passage once. Then find the answer.'
Panel 5 — Over-the-shoulder shot. The Beagle underlines a specific sentence in the passage. A question on the right of the page points directly to that line. Text: 'Every correct answer is hiding in the text. Literally.'
Panel 6 — The Beagle taps the passage confidently with one paw, a small purple arrow pointing from his paw to the answer he circled. Text: 'You are not guessing. You are locating.'
Panel 7 — Final panel. The Beagle looks at the viewer with calm, steady eyes and a gentle nod. Text: 'The reading section does not test imagination. It tests patience.'</t>
  </si>
  <si>
    <t>Exhaustion from reading section is deeply relatable, 'locating not guessing' reframe is fresh and concrete, panels map well visually</t>
  </si>
  <si>
    <t>2026-07-16T10:17:38.990-07:00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</si>
  <si>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the reading section so exhausting?'\n\nPanel 1 — The Beagle opens the SAT booklet to the reading section. His eyes go wide at the length of a passage. Text: 'The passages are long. The questions are specific.'\n\nPanel 2 — Close-up of the Beagle's face, eyes slightly glazed, re-reading the same line three times. A tiny swirling doodle floats near his temple. Text: 'And your brain is doing two things at once — reading AND hunting for answers.'\n\nPanel 3 — Medium shot. The Beagle sets the pencil down and just reads. No circling, no underlining yet. Text: 'Most students try to answer while they read. That splits your focus.'\n\nPanel 4 — Side profile. The Beagle finishes the passage first, then goes back to answer. His posture is more relaxed. Text: 'Read the whole passage once. Then find the answer.'\n\nPanel 5 — Over-the-shoulder shot. The Beagle underlines a specific sentence in the passage. A question on the right of the page points directly to that line. Text: 'Every correct answer is hiding in the text. Literally.'\n\nPanel 6 — The Beagle taps the passage confidently with one paw, a small purple arrow pointing from his paw to the answer he circled. Text: 'You are not guessing. You are locating.'\n\nPanel 7 — Final panel. The Beagle looks at the viewer with calm, steady eyes and a gentle nod. Text: 'The reading section does not test imagination. It tests patience.'\n\nReference the provided style image to maintain visual consistency in palette, illustration style, and layout.","input_urls":["https://tempfile.redpandaai.co/kieai/11402406/athena-refs/style_ref.jpg"],"aspect_ratio":"4:5"}}</t>
  </si>
  <si>
    <t>b61a8704a1d3f5ed1b3b55bf728f921e</t>
  </si>
  <si>
    <t>https://tempfile.aiquickdraw.com/images/chatgpt/file_00000000b40471f584538fd2bdfe245b.png</t>
  </si>
  <si>
    <t>1dAqnbNtJizvfaX-ZF81EJByXF9qwy46B</t>
  </si>
  <si>
    <t>https://drive.google.com/uc?id=1dAqnbNtJizvfaX-ZF81EJByXF9qwy46B</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</si>
  <si>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the reading section so exhausting?'
Panel 1 — The Beagle opens the SAT booklet to the reading section. His eyes go wide at the length of a passage. Text: 'The passages are long. The questions are specific.'
Panel 2 — Close-up of the Beagle's face, eyes slightly glazed, re-reading the same line three times. A tiny swirling doodle floats near his temple. Text: 'And your brain is doing two things at once — reading AND hunting for answers.'
Panel 3 — Medium shot. The Beagle sets the pencil down and just reads. No circling, no underlining yet. Text: 'Most students try to answer while they read. That splits your focus.'
Panel 4 — Side profile. The Beagle finishes the passage first, then goes back to answer. His posture is more relaxed. Text: 'Read the whole passage once. Then find the answer.'
Panel 5 — Over-the-shoulder shot. The Beagle underlines a specific sentence in the passage. A question on the right of the page points directly to that line. Text: 'Every correct answer is hiding in the text. Literally.'
Panel 6 — The Beagle taps the passage confidently with one paw, a small purple arrow pointing from his paw to the answer he circled. Text: 'You are not guessing. You are locating.'
Panel 7 — Final panel. The Beagle looks at the viewer with calm, steady eyes and a gentle nod. Text: 'The reading section does not test imagination. It tests patience.'
Reference the provided style image to maintain visual consistency in palette, illustration style, and layout.</t>
  </si>
  <si>
    <t>BE_014</t>
  </si>
  <si>
    <t>Title panel: 'Why does your score drop when you are stressed?'
Panel 1 — The Beagle is at a desk at home, practicing. Calm, focused, snacks nearby. He gets a great score. Text: 'At home you are sharp. Focused. Confident.'
Panel 2 — Scene shift. The Beagle is in a testing room. Fluorescent lights. Strangers around him. A clock on the wall. His ears are flattened slightly. Text: 'Then test day arrives.'
Panel 3 — Close-up of the Beagle's paw. It is pressed flat on the desk, slightly trembling. The pencil is gripped too tight. Text: 'Your body goes into survival mode. Your thinking brain takes a back seat.'
Panel 4 — Side profile. A small brain doodle above his head shows two sections — one labeled 'logic' dimming, one labeled 'panic' lighting up. Text: 'Stress does not make you dumber. It just redirects your energy.'
Panel 5 — The Beagle takes one slow breath. Eyes close. One paw on the desk, steady. A soft exhale shown as a small cloud near his nose. Text: 'Three slow breaths before you start. Not a cliche. Actual science.'
Panel 6 — Medium shot. The Beagle is back on the test, working steadily. Expression calm. A small sticky note on the corner of his desk reads 'I have done this before.' Text: 'Familiarity is the antidote. Practice until the test feels boring.'
Panel 7 — Final panel. The Beagle looks directly at the viewer, one ear flopped forward, eyes steady and warm. Text: 'The calmer you are, the smarter you test.'</t>
  </si>
  <si>
    <t>Stress-score connection resonates strongly with parents and students, brain doodle panel is visually interesting, breathing advice lands as science not cliche because it is framed that way</t>
  </si>
  <si>
    <t>2026-07-16T10:17:38.992-07:00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</si>
  <si>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score drop when you are stressed?'\n\nPanel 1 — The Beagle is at a desk at home, practicing. Calm, focused, snacks nearby. He gets a great score. Text: 'At home you are sharp. Focused. Confident.'\n\nPanel 2 — Scene shift. The Beagle is in a testing room. Fluorescent lights. Strangers around him. A clock on the wall. His ears are flattened slightly. Text: 'Then test day arrives.'\n\nPanel 3 — Close-up of the Beagle's paw. It is pressed flat on the desk, slightly trembling. The pencil is gripped too tight. Text: 'Your body goes into survival mode. Your thinking brain takes a back seat.'\n\nPanel 4 — Side profile. A small brain doodle above his head shows two sections — one labeled 'logic' dimming, one labeled 'panic' lighting up. Text: 'Stress does not make you dumber. It just redirects your energy.'\n\nPanel 5 — The Beagle takes one slow breath. Eyes close. One paw on the desk, steady. A soft exhale shown as a small cloud near his nose. Text: 'Three slow breaths before you start. Not a cliche. Actual science.'\n\nPanel 6 — Medium shot. The Beagle is back on the test, working steadily. Expression calm. A small sticky note on the corner of his desk reads 'I have done this before.' Text: 'Familiarity is the antidote. Practice until the test feels boring.'\n\nPanel 7 — Final panel. The Beagle looks directly at the viewer, one ear flopped forward, eyes steady and warm. Text: 'The calmer you are, the smarter you test.'\n\nReference the provided style image to maintain visual consistency in palette, illustration style, and layout.","input_urls":["https://tempfile.redpandaai.co/kieai/11402406/athena-refs/style_ref.jpg"],"aspect_ratio":"4:5"}}</t>
  </si>
  <si>
    <t>d82301552769c397a33368770a17e742</t>
  </si>
  <si>
    <t>https://tempfile.aiquickdraw.com/images/chatgpt/file_00000000a524722fb2f89173d38a815a.png</t>
  </si>
  <si>
    <t>1uTNI-SaEo2O09atFag2_CPY5nwcI-r1z</t>
  </si>
  <si>
    <t>https://drive.google.com/uc?id=1uTNI-SaEo2O09atFag2_CPY5nwcI-r1z</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</si>
  <si>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score drop when you are stressed?'
Panel 1 — The Beagle is at a desk at home, practicing. Calm, focused, snacks nearby. He gets a great score. Text: 'At home you are sharp. Focused. Confident.'
Panel 2 — Scene shift. The Beagle is in a testing room. Fluorescent lights. Strangers around him. A clock on the wall. His ears are flattened slightly. Text: 'Then test day arrives.'
Panel 3 — Close-up of the Beagle's paw. It is pressed flat on the desk, slightly trembling. The pencil is gripped too tight. Text: 'Your body goes into survival mode. Your thinking brain takes a back seat.'
Panel 4 — Side profile. A small brain doodle above his head shows two sections — one labeled 'logic' dimming, one labeled 'panic' lighting up. Text: 'Stress does not make you dumber. It just redirects your energy.'
Panel 5 — The Beagle takes one slow breath. Eyes close. One paw on the desk, steady. A soft exhale shown as a small cloud near his nose. Text: 'Three slow breaths before you start. Not a cliche. Actual science.'
Panel 6 — Medium shot. The Beagle is back on the test, working steadily. Expression calm. A small sticky note on the corner of his desk reads 'I have done this before.' Text: 'Familiarity is the antidote. Practice until the test feels boring.'
Panel 7 — Final panel. The Beagle looks directly at the viewer, one ear flopped forward, eyes steady and warm. Text: 'The calmer you are, the smarter you test.'
Reference the provided style image to maintain visual consistency in palette, illustration style, and layout.</t>
  </si>
  <si>
    <t>BE_015</t>
  </si>
  <si>
    <t>Title panel: 'Why does skipping a question feel so wrong — but help so much?'
Panel 1 — The Beagle is staring down a question. His brow is knotted. Three minutes have passed — a small clock in the corner confirms it. Text: 'Some questions are designed to eat your time.'
Panel 2 — Close-up of the question on the page. It is dense, multi-part, with a chart and a long sentence. The Beagle is frozen. Text: 'And they are often worth exactly the same as the easy ones.'
Panel 3 — Side profile. The Beagle lightly circles the question number, draws a small arrow, and physically moves to the next page. His expression is deliberate, not defeated. Text: 'Skipping is not giving up. It is strategy.'
Panel 4 — Medium shot. The Beagle breezes through two easier questions, pencil moving fast, ears relaxed. Text: 'While you are stuck on one, you could have answered three.'
Panel 5 — Overhead desk view. The Beagle comes back to the circled question. He is calmer now. Fresh eyes. He reads it again. Text: 'Coming back with a clear head changes everything.'
Panel 6 — The Beagle bubbles in the answer with quiet confidence. A small checkmark doodle hovers nearby. Text: 'Suddenly the question that paralyzed you has an obvious answer.'
Panel 7 — Final panel. The Beagle looks at the viewer with a small, knowing smile. One paw taps his temple lightly. Text: 'Smart test-takers do not fight the test. They move with it.'</t>
  </si>
  <si>
    <t>Skipping strategy is counterintuitive and genuinely useful, visual contrast between frozen Beagle and breezing Beagle is strong, avoids cliche framing</t>
  </si>
  <si>
    <t>;</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</si>
  <si>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skipping a question feel so wrong — but help so much?'\n\nPanel 1 — The Beagle is staring down a question. His brow is knotted. Three minutes have passed — a small clock in the corner confirms it. Text: 'Some questions are designed to eat your time.'\n\nPanel 2 — Close-up of the question on the page. It is dense, multi-part, with a chart and a long sentence. The Beagle is frozen. Text: 'And they are often worth exactly the same as the easy ones.'\n\nPanel 3 — Side profile. The Beagle lightly circles the question number, draws a small arrow, and physically moves to the next page. His expression is deliberate, not defeated. Text: 'Skipping is not giving up. It is strategy.'\n\nPanel 4 — Medium shot. The Beagle breezes through two easier questions, pencil moving fast, ears relaxed. Text: 'While you are stuck on one, you could have answered three.'\n\nPanel 5 — Overhead desk view. The Beagle comes back to the circled question. He is calmer now. Fresh eyes. He reads it again. Text: 'Coming back with a clear head changes everything.'\n\nPanel 6 — The Beagle bubbles in the answer with quiet confidence. A small checkmark doodle hovers nearby. Text: 'Suddenly the question that paralyzed you has an obvious answer.'\n\nPanel 7 — Final panel. The Beagle looks at the viewer with a small, knowing smile. One paw taps his temple lightly. Text: 'Smart test-takers do not fight the test. They move with it.'\n\nReference the provided style image to maintain visual consistency in palette, illustration style, and layout.","input_urls":["https://tempfile.redpandaai.co/kieai/11402406/athena-refs/style_ref.jpg"],"aspect_ratio":"4:5"}}</t>
  </si>
  <si>
    <t>2ae3d8fbea8964cd9e351366c7680382</t>
  </si>
  <si>
    <t>https://tempfile.aiquickdraw.com/images/chatgpt/file_000000008f0871fdb504e5885102852e.png</t>
  </si>
  <si>
    <t>1qdI8g_QVVIyiFQi4XmTENBsm-_pbo2cJ</t>
  </si>
  <si>
    <t>https://drive.google.com/uc?id=1qdI8g_QVVIyiFQi4XmTENBsm-_pbo2cJ</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</si>
  <si>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skipping a question feel so wrong — but help so much?'
Panel 1 — The Beagle is staring down a question. His brow is knotted. Three minutes have passed — a small clock in the corner confirms it. Text: 'Some questions are designed to eat your time.'
Panel 2 — Close-up of the question on the page. It is dense, multi-part, with a chart and a long sentence. The Beagle is frozen. Text: 'And they are often worth exactly the same as the easy ones.'
Panel 3 — Side profile. The Beagle lightly circles the question number, draws a small arrow, and physically moves to the next page. His expression is deliberate, not defeated. Text: 'Skipping is not giving up. It is strategy.'
Panel 4 — Medium shot. The Beagle breezes through two easier questions, pencil moving fast, ears relaxed. Text: 'While you are stuck on one, you could have answered three.'
Panel 5 — Overhead desk view. The Beagle comes back to the circled question. He is calmer now. Fresh eyes. He reads it again. Text: 'Coming back with a clear head changes everything.'
Panel 6 — The Beagle bubbles in the answer with quiet confidence. A small checkmark doodle hovers nearby. Text: 'Suddenly the question that paralyzed you has an obvious answer.'
Panel 7 — Final panel. The Beagle looks at the viewer with a small, knowing smile. One paw taps his temple lightly. Text: 'Smart test-takers do not fight the test. They move with it.'
Reference the provided style image to maintain visual consistency in palette, illustration style, and layout.</t>
  </si>
  <si>
    <t>BE_016</t>
  </si>
  <si>
    <t>Title panel: 'Why does grammar feel impossible on the SAT?'
Panel 1 — The Beagle stares at a writing-section question. He whispers the sentence out loud. It sounds fine to him. He picks the 'sounds right' answer. Text: 'Your ear is lying to you.'
Panel 2 — Close-up. The answer he chose is marked wrong. The correct version sounds almost identical when spoken aloud. His mouth is slightly open in disbelief. Text: 'The SAT grammar section is not about how English sounds.'
Panel 3 — Side profile. The Beagle holds a short list on a sticky note: 'subject-verb agreement, comma splices, misplaced modifiers.' Text: 'It tests about twelve grammar rules. The same ones. Every single time.'
Panel 4 — Medium shot. The Beagle looks at a sentence and draws a line through every phrase between the subject and verb, circling just those two words. Text: 'Strip the sentence down. Find the subject. Find the verb. Do they match?'
Panel 5 — Over-the-shoulder shot. He identifies a misplaced modifier. A small arrow doodle connects the modifier to what it is incorrectly describing. He crosses it out and rewrites mentally. Text: 'Once you know the rules, wrong answers feel obviously wrong.'
Panel 6 — The Beagle leans back with a satisfied exhale, pencil resting across his paw. A small lightbulb glows softly near his head. Text: 'Grammar is not talent. It is pattern recognition.'
Panel 7 — Final panel. The Beagle looks at the viewer, head slightly tilted, expression warm and direct. Text: 'Learn the twelve rules. Then the writing section becomes a scavenger hunt.'</t>
  </si>
  <si>
    <t>Your ear is lying to you' is a sharp hook, twelve-rules framing makes grammar feel conquerable, scavenger hunt metaphor is fresh and motivating</t>
  </si>
  <si>
    <t>2026-07-16T10:17:38.999-07:00</t>
  </si>
  <si>
    <t>BE_017</t>
  </si>
  <si>
    <t>Title panel: 'Why does studying more sometimes make your score worse?'
Panel 1 — The Beagle is at his desk surrounded by five open prep books, three highlighters, two notebooks, and a crumpled schedule. His eyes are wide and slightly frantic. Text: 'More hours does not always mean more points.'
Panel 2 — Close-up of the Beagle's face. Dark circles under his eyes. He is exhausted. He reads the same paragraph four times without absorbing a single word. Text: 'A tired brain stops making connections.'
Panel 3 — Side profile. He is doing random practice — vocabulary one moment, geometry the next, then reading passages, no clear order. Text: 'Scattered studying feels productive. It rarely is.'
Panel 4 — Overhead desk view. The Beagle opens one notebook. One subject. One section. He works slowly and deliberately. Text: 'Focused practice on your weakest area moves the needle.'
Panel 5 — Medium shot. The Beagle reviews a question he got wrong — not to feel bad — but to trace exactly where his thinking went off track. A small magnifying glass doodle hovers over the mistake. Text: 'Wrong answers are not failures. They are data.'
Panel 6 — The Beagle closes his books after 45 minutes, stretches, walks away from the desk. A small clock shows a short, defined session. Text: 'Shorter, sharper sessions beat marathon cramming every time.'
Panel 7 — Final panel. The Beagle looks at the viewer, calm and steady, one paw resting on a closed, tidy notebook. Text: 'Study smarter. Then close the book and rest. Both parts matter.'</t>
  </si>
  <si>
    <t>Speaks directly to the over-studying parent narrative, wrong-answers-as-data reframe is concrete and actionable, visual of scattered vs focused desk is renderable</t>
  </si>
  <si>
    <t>2026-07-16T10:17:39.002-07:00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</si>
  <si>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studying more sometimes make your score worse?'\n\nPanel 1 — The Beagle is at his desk surrounded by five open prep books, three highlighters, two notebooks, and a crumpled schedule. His eyes are wide and slightly frantic. Text: 'More hours does not always mean more points.'\n\nPanel 2 — Close-up of the Beagle's face. Dark circles under his eyes. He is exhausted. He reads the same paragraph four times without absorbing a single word. Text: 'A tired brain stops making connections.'\n\nPanel 3 — Side profile. He is doing random practice — vocabulary one moment, geometry the next, then reading passages, no clear order. Text: 'Scattered studying feels productive. It rarely is.'\n\nPanel 4 — Overhead desk view. The Beagle opens one notebook. One subject. One section. He works slowly and deliberately. Text: 'Focused practice on your weakest area moves the needle.'\n\nPanel 5 — Medium shot. The Beagle reviews a question he got wrong — not to feel bad — but to trace exactly where his thinking went off track. A small magnifying glass doodle hovers over the mistake. Text: 'Wrong answers are not failures. They are data.'\n\nPanel 6 — The Beagle closes his books after 45 minutes, stretches, walks away from the desk. A small clock shows a short, defined session. Text: 'Shorter, sharper sessions beat marathon cramming every time.'\n\nPanel 7 — Final panel. The Beagle looks at the viewer, calm and steady, one paw resting on a closed, tidy notebook. Text: 'Study smarter. Then close the book and rest. Both parts matter.'\n\nReference the provided style image to maintain visual consistency in palette, illustration style, and layout.","input_urls":["https://tempfile.redpandaai.co/kieai/11402406/athena-refs/style_ref.jpg"],"aspect_ratio":"4:5"}}</t>
  </si>
  <si>
    <t>cb5cb535b9cefb82d21b77c9ec743049</t>
  </si>
  <si>
    <t>https://tempfile.aiquickdraw.com/images/chatgpt/file_000000000e9c7230b61712218ddb68e9.png</t>
  </si>
  <si>
    <t>1f_FofslG-0XbNc1rBPzqW938t2FMsXed</t>
  </si>
  <si>
    <t>https://drive.google.com/uc?id=1f_FofslG-0XbNc1rBPzqW938t2FMsXed</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</si>
  <si>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studying more sometimes make your score worse?'
Panel 1 — The Beagle is at his desk surrounded by five open prep books, three highlighters, two notebooks, and a crumpled schedule. His eyes are wide and slightly frantic. Text: 'More hours does not always mean more points.'
Panel 2 — Close-up of the Beagle's face. Dark circles under his eyes. He is exhausted. He reads the same paragraph four times without absorbing a single word. Text: 'A tired brain stops making connections.'
Panel 3 — Side profile. He is doing random practice — vocabulary one moment, geometry the next, then reading passages, no clear order. Text: 'Scattered studying feels productive. It rarely is.'
Panel 4 — Overhead desk view. The Beagle opens one notebook. One subject. One section. He works slowly and deliberately. Text: 'Focused practice on your weakest area moves the needle.'
Panel 5 — Medium shot. The Beagle reviews a question he got wrong — not to feel bad — but to trace exactly where his thinking went off track. A small magnifying glass doodle hovers over the mistake. Text: 'Wrong answers are not failures. They are data.'
Panel 6 — The Beagle closes his books after 45 minutes, stretches, walks away from the desk. A small clock shows a short, defined session. Text: 'Shorter, sharper sessions beat marathon cramming every time.'
Panel 7 — Final panel. The Beagle looks at the viewer, calm and steady, one paw resting on a closed, tidy notebook. Text: 'Study smarter. Then close the book and rest. Both parts matter.'
Reference the provided style image to maintain visual consistency in palette, illustration style, and layout.</t>
  </si>
  <si>
    <t>BE_018</t>
  </si>
  <si>
    <t>Title panel: 'Why do you freeze up when you see a hard math problem?'
Panel 1 — The Beagle opens the math section. The first few problems — easy. Pencil moving fast. Ears up. Text: 'The first questions feel like a warm-up.'
Panel 2 — Then — a graph, a word problem, and an equation stacked inside one question. The Beagle stops. His pencil hovers. Text: 'Then one question looks like three problems had a baby.'
Panel 3 — Close-up of the Beagle's eyes. They are scanning the whole problem at once, trying to see the finish line before starting. Text: 'The brain panics when it cannot see the whole path from step one.'
Panel 4 — Side profile. The Beagle looks away from the full problem and writes only one small piece on his scratch paper — just the first step. Nothing else. Text: 'Do not solve the problem. Solve the first step.'
Panel 5 — Overhead desk view. One step leads to another. Small numbers fill the scratch paper in a calm, organized column. The Beagle is moving. Text: 'Each step shows you the next one. The path builds itself.'
Panel 6 — Medium shot. The Beagle circles the final answer. His expression is not shock — it is quiet recognition. He knew how to do this. He just needed to start. Text: 'Hard math problems are just easy steps wearing a heavy coat.'
Panel 7 — Final panel. The Beagle looks at the viewer, head tilted just slightly, eyes soft and knowing. Text: 'You do not need to see the whole staircase. Just take one step.'</t>
  </si>
  <si>
    <t>Freeze response on hard math is universally felt, 'solve the first step' advice is specific and visual, staircase metaphor in final panel is clean</t>
  </si>
  <si>
    <t>2026-07-16T10:17:39.005-07:00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</si>
  <si>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freeze up when you see a hard math problem?'\n\nPanel 1 — The Beagle opens the math section. The first few problems — easy. Pencil moving fast. Ears up. Text: 'The first questions feel like a warm-up.'\n\nPanel 2 — Then — a graph, a word problem, and an equation stacked inside one question. The Beagle stops. His pencil hovers. Text: 'Then one question looks like three problems had a baby.'\n\nPanel 3 — Close-up of the Beagle's eyes. They are scanning the whole problem at once, trying to see the finish line before starting. Text: 'The brain panics when it cannot see the whole path from step one.'\n\nPanel 4 — Side profile. The Beagle looks away from the full problem and writes only one small piece on his scratch paper — just the first step. Nothing else. Text: 'Do not solve the problem. Solve the first step.'\n\nPanel 5 — Overhead desk view. One step leads to another. Small numbers fill the scratch paper in a calm, organized column. The Beagle is moving. Text: 'Each step shows you the next one. The path builds itself.'\n\nPanel 6 — Medium shot. The Beagle circles the final answer. His expression is not shock — it is quiet recognition. He knew how to do this. He just needed to start. Text: 'Hard math problems are just easy steps wearing a heavy coat.'\n\nPanel 7 — Final panel. The Beagle looks at the viewer, head tilted just slightly, eyes soft and knowing. Text: 'You do not need to see the whole staircase. Just take one step.'\n\nReference the provided style image to maintain visual consistency in palette, illustration style, and layout.","input_urls":["https://tempfile.redpandaai.co/kieai/11402406/athena-refs/style_ref.jpg"],"aspect_ratio":"4:5"}}</t>
  </si>
  <si>
    <t>06def4a1ea3491244a3c9232e164c6b5</t>
  </si>
  <si>
    <t>https://tempfile.aiquickdraw.com/images/chatgpt/file_00000000a29871f58276527aa374cd82.png</t>
  </si>
  <si>
    <t>1P0nG4IC-Yn6xdLpQnDDQXTUw2b8j3jZm</t>
  </si>
  <si>
    <t>https://drive.google.com/uc?id=1P0nG4IC-Yn6xdLpQnDDQXTUw2b8j3jZm</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</si>
  <si>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freeze up when you see a hard math problem?'
Panel 1 — The Beagle opens the math section. The first few problems — easy. Pencil moving fast. Ears up. Text: 'The first questions feel like a warm-up.'
Panel 2 — Then — a graph, a word problem, and an equation stacked inside one question. The Beagle stops. His pencil hovers. Text: 'Then one question looks like three problems had a baby.'
Panel 3 — Close-up of the Beagle's eyes. They are scanning the whole problem at once, trying to see the finish line before starting. Text: 'The brain panics when it cannot see the whole path from step one.'
Panel 4 — Side profile. The Beagle looks away from the full problem and writes only one small piece on his scratch paper — just the first step. Nothing else. Text: 'Do not solve the problem. Solve the first step.'
Panel 5 — Overhead desk view. One step leads to another. Small numbers fill the scratch paper in a calm, organized column. The Beagle is moving. Text: 'Each step shows you the next one. The path builds itself.'
Panel 6 — Medium shot. The Beagle circles the final answer. His expression is not shock — it is quiet recognition. He knew how to do this. He just needed to start. Text: 'Hard math problems are just easy steps wearing a heavy coat.'
Panel 7 — Final panel. The Beagle looks at the viewer, head tilted just slightly, eyes soft and knowing. Text: 'You do not need to see the whole staircase. Just take one step.'
Reference the provided style image to maintain visual consistency in palette, illustration style, and layout.</t>
  </si>
  <si>
    <t>BE_019</t>
  </si>
  <si>
    <t>Title panel: 'Why does your score plateau — even when you keep practicing?'
Panel 1 — The Beagle holds up two practice test score sheets side by side. First one: 1180. Second one: 1190. He has been practicing for weeks. Text: 'You are putting in the hours. The score barely moves.'
Panel 2 — Close-up. The Beagle is doing the same type of practice problems he is already good at. Comfortable. Familiar. Text: 'Plateaus happen when you keep practicing your strengths.'
Panel 3 — Side profile. The Beagle stares at a section he dislikes — reading paired passages. He sets his jaw. Eyes steady. Text: 'Growth lives in the uncomfortable spots.'
Panel 4 — Medium shot. The Beagle goes back through his last three tests and circles only his wrong answers. He sorts them by type. A small tally appears on a sticky note. Text: 'Find the pattern in your mistakes. It is always a pattern.'
Panel 5 — The Beagle works specifically on that one mistake pattern — nothing else — for an entire session. Expression locked in. Text: 'Target one weakness at a time. Fix it completely. Then move on.'
Panel 6 — Overhead desk view. New practice test results. The score jumps — not from doing more — but from finally fixing the thing that was quietly stealing points. Text: 'Plateaus do not mean you hit a ceiling. They mean you found your next lesson.'
Panel 7 — Final panel. The Beagle looks at the viewer, soft smile, one ear flopped, eyes warm. Text: 'The score is not stuck. You just have not found the right door yet.'</t>
  </si>
  <si>
    <t>Plateau frustration is a major parent and student pain point, pattern-in-mistakes approach is genuinely strategic, 'wrong door' metaphor is warm without being hollow</t>
  </si>
  <si>
    <t>2026-07-16T10:17:39.008-07:00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</si>
  <si>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score plateau — even when you keep practicing?'\n\nPanel 1 — The Beagle holds up two practice test score sheets side by side. First one: 1180. Second one: 1190. He has been practicing for weeks. Text: 'You are putting in the hours. The score barely moves.'\n\nPanel 2 — Close-up. The Beagle is doing the same type of practice problems he is already good at. Comfortable. Familiar. Text: 'Plateaus happen when you keep practicing your strengths.'\n\nPanel 3 — Side profile. The Beagle stares at a section he dislikes — reading paired passages. He sets his jaw. Eyes steady. Text: 'Growth lives in the uncomfortable spots.'\n\nPanel 4 — Medium shot. The Beagle goes back through his last three tests and circles only his wrong answers. He sorts them by type. A small tally appears on a sticky note. Text: 'Find the pattern in your mistakes. It is always a pattern.'\n\nPanel 5 — The Beagle works specifically on that one mistake pattern — nothing else — for an entire session. Expression locked in. Text: 'Target one weakness at a time. Fix it completely. Then move on.'\n\nPanel 6 — Overhead desk view. New practice test results. The score jumps — not from doing more — but from finally fixing the thing that was quietly stealing points. Text: 'Plateaus do not mean you hit a ceiling. They mean you found your next lesson.'\n\nPanel 7 — Final panel. The Beagle looks at the viewer, soft smile, one ear flopped, eyes warm. Text: 'The score is not stuck. You just have not found the right door yet.'\n\nReference the provided style image to maintain visual consistency in palette, illustration style, and layout.","input_urls":["https://tempfile.redpandaai.co/kieai/11402406/athena-refs/style_ref.jpg"],"aspect_ratio":"4:5"}}</t>
  </si>
  <si>
    <t>f19ef58720a98ea28dad035f75ed8398</t>
  </si>
  <si>
    <t>https://tempfile.aiquickdraw.com/images/chatgpt/file_00000000197871f586cdf23e673d09ed.png</t>
  </si>
  <si>
    <t>1HAEuNx8s9X2J6rFggRkgVYbyrT_6J_dm</t>
  </si>
  <si>
    <t>https://drive.google.com/uc?id=1HAEuNx8s9X2J6rFggRkgVYbyrT_6J_dm</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</si>
  <si>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score plateau — even when you keep practicing?'
Panel 1 — The Beagle holds up two practice test score sheets side by side. First one: 1180. Second one: 1190. He has been practicing for weeks. Text: 'You are putting in the hours. The score barely moves.'
Panel 2 — Close-up. The Beagle is doing the same type of practice problems he is already good at. Comfortable. Familiar. Text: 'Plateaus happen when you keep practicing your strengths.'
Panel 3 — Side profile. The Beagle stares at a section he dislikes — reading paired passages. He sets his jaw. Eyes steady. Text: 'Growth lives in the uncomfortable spots.'
Panel 4 — Medium shot. The Beagle goes back through his last three tests and circles only his wrong answers. He sorts them by type. A small tally appears on a sticky note. Text: 'Find the pattern in your mistakes. It is always a pattern.'
Panel 5 — The Beagle works specifically on that one mistake pattern — nothing else — for an entire session. Expression locked in. Text: 'Target one weakness at a time. Fix it completely. Then move on.'
Panel 6 — Overhead desk view. New practice test results. The score jumps — not from doing more — but from finally fixing the thing that was quietly stealing points. Text: 'Plateaus do not mean you hit a ceiling. They mean you found your next lesson.'
Panel 7 — Final panel. The Beagle looks at the viewer, soft smile, one ear flopped, eyes warm. Text: 'The score is not stuck. You just have not found the right door yet.'
Reference the provided style image to maintain visual consistency in palette, illustration style, and layout.</t>
  </si>
  <si>
    <t>BE_020</t>
  </si>
  <si>
    <t>Title panel: 'Why does your kid say they studied — but still feel unprepared?'
Panel 1 — The Beagle sits at the desk with a highlighter, dragging it across line after line of text. The whole page is yellow. He looks busy. Text: 'Highlighting an entire chapter is not studying.'
Panel 2 — Close-up of the Beagle's eyes. They are moving across the page, but the thought bubble above is completely empty. Text: 'Passive reading feels like learning. The brain disagrees.'
Panel 3 — Side profile. The Beagle closes the book and tries to write down everything he remembers on a blank piece of paper. His paw hovers. Almost nothing comes out. Text: 'If you cannot recall it without looking, you have not learned it yet.'
Panel 4 — Medium shot. The Beagle opens a notebook and writes out a practice problem from memory. He gets it wrong. But he knows exactly where the gap is now. Text: 'Getting it wrong in practice is the lesson. That is the whole point.'
Panel 5 — The Beagle reads one concept — closes the book — then teaches it out loud to an imaginary student, gesturing with a paw. A small speech bubble shows a simple, clear explanation. Text: 'If you can teach it, you actually know it.'
Panel 6 — Over-the-shoulder shot. The Beagle works through five targeted questions on just that concept. He checks each one. Corrects two. Reads the explanation. Text: 'Active practice beats passive review by a mile.'
Panel 7 — Final panel. The Beagle looks directly at the viewer, expression gentle, grounded, and direct. Text: 'Feeling like you studied and actually learning — those are two very different things.'</t>
  </si>
  <si>
    <t>Directly addresses the parent-child disconnect around studying, highlighting-as-fake-learning is a sharp and recognizable truth, teach-it-out-loud panel is visually distinctive</t>
  </si>
  <si>
    <t>2026-07-16T10:17:39.010-07:00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</si>
  <si>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kid say they studied — but still feel unprepared?'\n\nPanel 1 — The Beagle sits at the desk with a highlighter, dragging it across line after line of text. The whole page is yellow. He looks busy. Text: 'Highlighting an entire chapter is not studying.'\n\nPanel 2 — Close-up of the Beagle's eyes. They are moving across the page, but the thought bubble above is completely empty. Text: 'Passive reading feels like learning. The brain disagrees.'\n\nPanel 3 — Side profile. The Beagle closes the book and tries to write down everything he remembers on a blank piece of paper. His paw hovers. Almost nothing comes out. Text: 'If you cannot recall it without looking, you have not learned it yet.'\n\nPanel 4 — Medium shot. The Beagle opens a notebook and writes out a practice problem from memory. He gets it wrong. But he knows exactly where the gap is now. Text: 'Getting it wrong in practice is the lesson. That is the whole point.'\n\nPanel 5 — The Beagle reads one concept — closes the book — then teaches it out loud to an imaginary student, gesturing with a paw. A small speech bubble shows a simple, clear explanation. Text: 'If you can teach it, you actually know it.'\n\nPanel 6 — Over-the-shoulder shot. The Beagle works through five targeted questions on just that concept. He checks each one. Corrects two. Reads the explanation. Text: 'Active practice beats passive review by a mile.'\n\nPanel 7 — Final panel. The Beagle looks directly at the viewer, expression gentle, grounded, and direct. Text: 'Feeling like you studied and actually learning — those are two very different things.'\n\nReference the provided style image to maintain visual consistency in palette, illustration style, and layout.","input_urls":["https://tempfile.redpandaai.co/kieai/11402406/athena-refs/style_ref.jpg"],"aspect_ratio":"4:5"}}</t>
  </si>
  <si>
    <t>fce7c53eb8bb186e9306757e3a73b1b6</t>
  </si>
  <si>
    <t>https://tempfile.aiquickdraw.com/images/chatgpt/file_000000002aa871f5a76bca915f3bd9dd.png</t>
  </si>
  <si>
    <t>1BDWb0oonnwqTzroWrwZdOg7K1qfbVVt-</t>
  </si>
  <si>
    <t>https://drive.google.com/uc?id=1BDWb0oonnwqTzroWrwZdOg7K1qfbVVt-</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</si>
  <si>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kid say they studied — but still feel unprepared?'
Panel 1 — The Beagle sits at the desk with a highlighter, dragging it across line after line of text. The whole page is yellow. He looks busy. Text: 'Highlighting an entire chapter is not studying.'
Panel 2 — Close-up of the Beagle's eyes. They are moving across the page, but the thought bubble above is completely empty. Text: 'Passive reading feels like learning. The brain disagrees.'
Panel 3 — Side profile. The Beagle closes the book and tries to write down everything he remembers on a blank piece of paper. His paw hovers. Almost nothing comes out. Text: 'If you cannot recall it without looking, you have not learned it yet.'
Panel 4 — Medium shot. The Beagle opens a notebook and writes out a practice problem from memory. He gets it wrong. But he knows exactly where the gap is now. Text: 'Getting it wrong in practice is the lesson. That is the whole point.'
Panel 5 — The Beagle reads one concept — closes the book — then teaches it out loud to an imaginary student, gesturing with a paw. A small speech bubble shows a simple, clear explanation. Text: 'If you can teach it, you actually know it.'
Panel 6 — Over-the-shoulder shot. The Beagle works through five targeted questions on just that concept. He checks each one. Corrects two. Reads the explanation. Text: 'Active practice beats passive review by a mile.'
Panel 7 — Final panel. The Beagle looks directly at the viewer, expression gentle, grounded, and direct. Text: 'Feeling like you studied and actually learning — those are two very different things.'
Reference the provided style image to maintain visual consistency in palette, illustration style, and layout.</t>
  </si>
  <si>
    <t>sat_myth_1010</t>
  </si>
  <si>
    <t>Myth statement: 'MORE PRACTICE TESTS = BETTER SCORES'
Visual scene: The girl sits at a kitchen table completely buried under an avalanche of crumpled, scored practice tests — dozens of them cascading off the table onto the floor. She's holding pencil number twelve, dark circles under her eyes, staring blankly at yet another fresh test booklet. A wall calendar behind her shows every single day crossed off with frantic X marks. Despite the mountain of work, her score written on a sticky note on the fridge hasn't moved — it reads the same number circled in red three times. The sheer volume of paper is almost comical, but her exhausted expression is deeply relatable.
Insight line: 'Taking tests without understanding your mistakes is just practicing being stuck.'</t>
  </si>
  <si>
    <t>Visually concrete and emotionally relatable — the buried-in-tests scene is immediately renderable. Fresh angle on a common trap, resonates with exhausted students and worried parents.</t>
  </si>
  <si>
    <t>2026-07-17T12:57:22.500-07:00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</si>
  <si>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'MORE PRACTICE TESTS = BETTER SCORES'\n\nVisual scene: The girl sits at a kitchen table completely buried under an avalanche of crumpled, scored practice tests — dozens of them cascading off the table onto the floor. She's holding pencil number twelve, dark circles under her eyes, staring blankly at yet another fresh test booklet. A wall calendar behind her shows every single day crossed off with frantic X marks. Despite the mountain of work, her score written on a sticky note on the fridge hasn't moved — it reads the same number circled in red three times. The sheer volume of paper is almost comical, but her exhausted expression is deeply relatable.\n\nInsight line: 'Taking tests without understanding your mistakes is just practicing being stuck.'\n\nReference the provided style image to maintain visual consistency in palette, illustration style, and layout.","input_urls":["https://tempfile.redpandaai.co/kieai/11402406/athena-refs/style_ref.jpg"],"aspect_ratio":"4:5"}}</t>
  </si>
  <si>
    <t>60923c458f2c69e79a91b0a731260731</t>
  </si>
  <si>
    <t>https://tempfile.aiquickdraw.com/images/chatgpt/file_00000000f34c822f8e13fad63b4c8cb2.png</t>
  </si>
  <si>
    <t>1k8Mc0QJb9NfdFNJLRU2euYSzCq-9sL2q</t>
  </si>
  <si>
    <t>https://drive.google.com/uc?id=1k8Mc0QJb9NfdFNJLRU2euYSzCq-9sL2q</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</si>
  <si>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'MORE PRACTICE TESTS = BETTER SCORES'
Visual scene: The girl sits at a kitchen table completely buried under an avalanche of crumpled, scored practice tests — dozens of them cascading off the table onto the floor. She's holding pencil number twelve, dark circles under her eyes, staring blankly at yet another fresh test booklet. A wall calendar behind her shows every single day crossed off with frantic X marks. Despite the mountain of work, her score written on a sticky note on the fridge hasn't moved — it reads the same number circled in red three times. The sheer volume of paper is almost comical, but her exhausted expression is deeply relatable.
Insight line: 'Taking tests without understanding your mistakes is just practicing being stuck.'
Reference the provided style image to maintain visual consistency in palette, illustration style, and layout.</t>
  </si>
  <si>
    <t>sat_myth_1011</t>
  </si>
  <si>
    <t>Myth statement: 'THE SAT TESTS HOW SMART YOU ARE'
Visual scene: The girl stands in front of a massive locked door labeled 'SAT' — but the door has no keyhole for intelligence. Instead, it has a very specific, oddly-shaped keyhole that looks like a strategy map or a game controller. She's pressing a gold trophy (representing natural smarts) against the lock, baffled that it won't fit. The key that actually fits — a small, humble, slightly worn key labeled 'knowing how the test works' — sits on the floor right beside her shoe, unnoticed. Her expression is one of genuine confusion, not defeat.
Insight line: 'The SAT is a specific skill. Smart kids fail it every day for lack of that one key.'</t>
  </si>
  <si>
    <t>Strong visual metaphor with the wrong-shaped key. Door/lock/key is simple to render. Reframes a genuinely damaging belief parents hold about their smart-but-struggling kids.</t>
  </si>
  <si>
    <t>2026-07-17T12:57:22.504-07:00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</si>
  <si>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'THE SAT TESTS HOW SMART YOU ARE'\n\nVisual scene: The girl stands in front of a massive locked door labeled 'SAT' — but the door has no keyhole for intelligence. Instead, it has a very specific, oddly-shaped keyhole that looks like a strategy map or a game controller. She's pressing a gold trophy (representing natural smarts) against the lock, baffled that it won't fit. The key that actually fits — a small, humble, slightly worn key labeled 'knowing how the test works' — sits on the floor right beside her shoe, unnoticed. Her expression is one of genuine confusion, not defeat.\n\nInsight line: 'The SAT is a specific skill. Smart kids fail it every day for lack of that one key.'\n\nReference the provided style image to maintain visual consistency in palette, illustration style, and layout.","input_urls":["https://tempfile.redpandaai.co/kieai/11402406/athena-refs/style_ref.jpg"],"aspect_ratio":"4:5"}}</t>
  </si>
  <si>
    <t>3ccd29bc0e60d403a4dd383f5b89a694</t>
  </si>
  <si>
    <t>https://tempfile.aiquickdraw.com/images/chatgpt/file_0000000051d881f597541865605afb00.png</t>
  </si>
  <si>
    <t>1m21DTFDCqBkqtg5UGsMrmhvvS61nJwey</t>
  </si>
  <si>
    <t>https://drive.google.com/uc?id=1m21DTFDCqBkqtg5UGsMrmhvvS61nJwey</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</si>
  <si>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'THE SAT TESTS HOW SMART YOU ARE'
Visual scene: The girl stands in front of a massive locked door labeled 'SAT' — but the door has no keyhole for intelligence. Instead, it has a very specific, oddly-shaped keyhole that looks like a strategy map or a game controller. She's pressing a gold trophy (representing natural smarts) against the lock, baffled that it won't fit. The key that actually fits — a small, humble, slightly worn key labeled 'knowing how the test works' — sits on the floor right beside her shoe, unnoticed. Her expression is one of genuine confusion, not defeat.
Insight line: 'The SAT is a specific skill. Smart kids fail it every day for lack of that one key.'
Reference the provided style image to maintain visual consistency in palette, illustration style, and layout.</t>
  </si>
  <si>
    <t>sat_myth_1012</t>
  </si>
  <si>
    <t>Myth statement: 'IF THEY READ MORE, THEIR SCORE WILL GO UP'
Visual scene: The girl is surrounded by a towering, beautiful stack of novels, classics, and thick hardcovers — she's clearly been reading, a bookmark poking out of each one. But she's sitting at a desk with an open SAT Reading section in front of her, pencil hovering, completely frozen. The books form an impressive, loving tower behind her, almost like a monument — but they cast a long shadow over the test page. Her eyes are wide and uncertain. The books are wonderful. The test is still a locked puzzle.
Insight line: 'Reading for pleasure builds a love of language. It does not teach you how the SAT uses language against you.'</t>
  </si>
  <si>
    <t>Tower of beloved books casting a shadow over the test is visually poetic and precise. The tension between loving readers and low scores is deeply real for a certain parent demographic.</t>
  </si>
  <si>
    <t>2026-07-17T12:57:22.507-07:00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</si>
  <si>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'IF THEY READ MORE, THEIR SCORE WILL GO UP'\n\nVisual scene: The girl is surrounded by a towering, beautiful stack of novels, classics, and thick hardcovers — she's clearly been reading, a bookmark poking out of each one. But she's sitting at a desk with an open SAT Reading section in front of her, pencil hovering, completely frozen. The books form an impressive, loving tower behind her, almost like a monument — but they cast a long shadow over the test page. Her eyes are wide and uncertain. The books are wonderful. The test is still a locked puzzle.\n\nInsight line: 'Reading for pleasure builds a love of language. It does not teach you how the SAT uses language against you.'\n\nReference the provided style image to maintain visual consistency in palette, illustration style, and layout.","input_urls":["https://tempfile.redpandaai.co/kieai/11402406/athena-refs/style_ref.jpg"],"aspect_ratio":"4:5"}}</t>
  </si>
  <si>
    <t>58570ddd4d50c538b1bc98958ce6e87a</t>
  </si>
  <si>
    <t>https://tempfile.aiquickdraw.com/images/chatgpt/file_0000000000f481f59be8cc6afad8cde7.png</t>
  </si>
  <si>
    <t>17yR_vLk5cJJpJQQGNiRz6A3kP7eA_vWy</t>
  </si>
  <si>
    <t>https://drive.google.com/uc?id=17yR_vLk5cJJpJQQGNiRz6A3kP7eA_vWy</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</si>
  <si>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'IF THEY READ MORE, THEIR SCORE WILL GO UP'
Visual scene: The girl is surrounded by a towering, beautiful stack of novels, classics, and thick hardcovers — she's clearly been reading, a bookmark poking out of each one. But she's sitting at a desk with an open SAT Reading section in front of her, pencil hovering, completely frozen. The books form an impressive, loving tower behind her, almost like a monument — but they cast a long shadow over the test page. Her eyes are wide and uncertain. The books are wonderful. The test is still a locked puzzle.
Insight line: 'Reading for pleasure builds a love of language. It does not teach you how the SAT uses language against you.'
Reference the provided style image to maintain visual consistency in palette, illustration style, and layout.</t>
  </si>
  <si>
    <t>sat_myth_1013</t>
  </si>
  <si>
    <t>Myth statement: 'A TUTOR ONCE A WEEK IS ENOUGH'
Visual scene: A weekly calendar stretches across the scene. On Tuesday, a small bright flame burns on the desk — representing a tutoring session, warm and focused. But the remaining six days are illustrated as a slow, quiet rain gradually extinguishing the flame — not dramatically, just gently, inevitably. By the following Tuesday, the flame is nearly out, a thin curl of smoke rising. The girl sits at the desk on that next Tuesday looking vaguely familiar with what she'd learned, but not quite able to grab it. A tutor's hand (implied, just a sleeve and hand) is re-lighting the same flame again from scratch.
Insight line: 'One hour a week teaches. Six days of silence forgets. Progress lives in the space between sessions.'</t>
  </si>
  <si>
    <t>Flame slowly extinguishing across a weekly calendar is elegant, melancholy, and renders cleanly. Speaks directly to parents paying for weekly tutoring and wondering why nothing sticks.</t>
  </si>
  <si>
    <t>2026-07-17T12:57:22.509-07:00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</si>
  <si>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'A TUTOR ONCE A WEEK IS ENOUGH'\n\nVisual scene: A weekly calendar stretches across the scene. On Tuesday, a small bright flame burns on the desk — representing a tutoring session, warm and focused. But the remaining six days are illustrated as a slow, quiet rain gradually extinguishing the flame — not dramatically, just gently, inevitably. By the following Tuesday, the flame is nearly out, a thin curl of smoke rising. The girl sits at the desk on that next Tuesday looking vaguely familiar with what she'd learned, but not quite able to grab it. A tutor's hand (implied, just a sleeve and hand) is re-lighting the same flame again from scratch.\n\nInsight line: 'One hour a week teaches. Six days of silence forgets. Progress lives in the space between sessions.'\n\nReference the provided style image to maintain visual consistency in palette, illustration style, and layout.","input_urls":["https://tempfile.redpandaai.co/kieai/11402406/athena-refs/style_ref.jpg"],"aspect_ratio":"4:5"}}</t>
  </si>
  <si>
    <t>e36e883d3f374d8ae0e94537fca1537b</t>
  </si>
  <si>
    <t>https://tempfile.aiquickdraw.com/images/chatgpt/file_00000000bdcc81f69df8f66f512f6571.png</t>
  </si>
  <si>
    <t>1okYitVd-SpD92B_GZa74yEHRttLCIfLR</t>
  </si>
  <si>
    <t>https://drive.google.com/uc?id=1okYitVd-SpD92B_GZa74yEHRttLCIfLR</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</si>
  <si>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'A TUTOR ONCE A WEEK IS ENOUGH'
Visual scene: A weekly calendar stretches across the scene. On Tuesday, a small bright flame burns on the desk — representing a tutoring session, warm and focused. But the remaining six days are illustrated as a slow, quiet rain gradually extinguishing the flame — not dramatically, just gently, inevitably. By the following Tuesday, the flame is nearly out, a thin curl of smoke rising. The girl sits at the desk on that next Tuesday looking vaguely familiar with what she'd learned, but not quite able to grab it. A tutor's hand (implied, just a sleeve and hand) is re-lighting the same flame again from scratch.
Insight line: 'One hour a week teaches. Six days of silence forgets. Progress lives in the space between sessions.'
Reference the provided style image to maintain visual consistency in palette, illustration style, and layout.</t>
  </si>
  <si>
    <t>sat_myth_1014</t>
  </si>
  <si>
    <t>Myth statement: 'JUNIOR YEAR IS TOO LATE TO START PREP'
Visual scene: A race track. Other runners are far ahead — tiny figures in the distance. The girl has just stepped onto the track in her lane, lacing up one shoe, looking at the distance with a calm, measured expression — not panicked, not defeated. The track ahead of her is clearly shorter than the full course the others ran. A small chalkboard sign on her lane reads 'Targeted route.' The implication is clear: she doesn't need to run the whole race — just the right portion, efficiently. Her posture is one of focused readiness, not despair.
Insight line: 'Junior year is not too late. Unfocused prep for two years loses to six focused months every time.'</t>
  </si>
  <si>
    <t>Race track with a deliberately shorter targeted lane is a strong, optimistic reframe. Calm posture vs. distant runners is immediately readable. Hits the junior-year panic moment parents feel acutely.</t>
  </si>
  <si>
    <t>2026-07-17T12:57:22.513-07:00</t>
  </si>
  <si>
    <t>sat_myth_1015</t>
  </si>
  <si>
    <t>Myth statement: 'VOCAB FLASHCARDS ARE THE KEY TO READING SCORES'
Visual scene: The girl is holding up an enormous, fanned-out deck of flashcards — hundreds of them, completely dominating the frame, words like 'LOQUACIOUS' and 'EPHEMERAL' visible on the cards. Her arms are straining from the weight. She looks proud, prepared. But behind her, pinned to the wall, is an actual SAT Reading passage — dense, paragraph-heavy, full of argument and inference questions. None of the flashcard words appear anywhere in it. The mismatch is gentle but obvious: the wrong tool, held with complete confidence.
Insight line: 'Modern SAT Reading is about argument, evidence, and inference — not vocabulary lists.'</t>
  </si>
  <si>
    <t>Visual contrast between towering flashcard deck and actual SAT passage on the wall behind her is clean and quietly devastating. Directly targets a behavior many families default to.</t>
  </si>
  <si>
    <t>2026-07-17T12:57:22.516-07:00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</si>
  <si>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'VOCAB FLASHCARDS ARE THE KEY TO READING SCORES'\n\nVisual scene: The girl is holding up an enormous, fanned-out deck of flashcards — hundreds of them, completely dominating the frame, words like 'LOQUACIOUS' and 'EPHEMERAL' visible on the cards. Her arms are straining from the weight. She looks proud, prepared. But behind her, pinned to the wall, is an actual SAT Reading passage — dense, paragraph-heavy, full of argument and inference questions. None of the flashcard words appear anywhere in it. The mismatch is gentle but obvious: the wrong tool, held with complete confidence.\n\nInsight line: 'Modern SAT Reading is about argument, evidence, and inference — not vocabulary lists.'\n\nReference the provided style image to maintain visual consistency in palette, illustration style, and layout.","input_urls":["https://tempfile.redpandaai.co/kieai/11402406/athena-refs/style_ref.jpg"],"aspect_ratio":"4:5"}}</t>
  </si>
  <si>
    <t>24300c30db018be72d611b10578971a7</t>
  </si>
  <si>
    <t>https://tempfile.aiquickdraw.com/images/chatgpt/file_00000000282881f587a2e5aef1c676bc.png</t>
  </si>
  <si>
    <t>1wCoviRq70ODmORyg1UpxqrZk-56bFhPQ</t>
  </si>
  <si>
    <t>https://drive.google.com/uc?id=1wCoviRq70ODmORyg1UpxqrZk-56bFhPQ</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</si>
  <si>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'VOCAB FLASHCARDS ARE THE KEY TO READING SCORES'
Visual scene: The girl is holding up an enormous, fanned-out deck of flashcards — hundreds of them, completely dominating the frame, words like 'LOQUACIOUS' and 'EPHEMERAL' visible on the cards. Her arms are straining from the weight. She looks proud, prepared. But behind her, pinned to the wall, is an actual SAT Reading passage — dense, paragraph-heavy, full of argument and inference questions. None of the flashcard words appear anywhere in it. The mismatch is gentle but obvious: the wrong tool, held with complete confidence.
Insight line: 'Modern SAT Reading is about argument, evidence, and inference — not vocabulary lists.'
Reference the provided style image to maintain visual consistency in palette, illustration style, and layout.</t>
  </si>
  <si>
    <t>sat_myth_1016</t>
  </si>
  <si>
    <t>Myth statement: 'MY KID JUST NEEDS TO TRY HARDER'
Visual scene: The girl is pushing against a massive stone wall with everything she has — legs bent, shoulder pressed flat against it, teeth gritted, pure effort visible in every line of her posture. The wall is labeled in faint letters: 'wrong approach.' She is absolutely trying hard. The wall does not move. A few feet to her left, barely visible at the edge of the scene, is an open doorway through the same wall — no effort required, just a different path. She hasn't seen it. Nobody has pointed to it yet.
Insight line: 'Effort without direction is exhaustion. The question is never how hard — it is always how.'</t>
  </si>
  <si>
    <t>Pushing against a wall while an open door sits unnoticed is a timeless image executed with real emotional weight here. The 'effort without direction' insight lands hard for parents who feel their kid is already trying.</t>
  </si>
  <si>
    <t>2026-07-17T12:57:22.518-07:00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</si>
  <si>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'MY KID JUST NEEDS TO TRY HARDER'\n\nVisual scene: The girl is pushing against a massive stone wall with everything she has — legs bent, shoulder pressed flat against it, teeth gritted, pure effort visible in every line of her posture. The wall is labeled in faint letters: 'wrong approach.' She is absolutely trying hard. The wall does not move. A few feet to her left, barely visible at the edge of the scene, is an open doorway through the same wall — no effort required, just a different path. She hasn't seen it. Nobody has pointed to it yet.\n\nInsight line: 'Effort without direction is exhaustion. The question is never how hard — it is always how.'\n\nReference the provided style image to maintain visual consistency in palette, illustration style, and layout.","input_urls":["https://tempfile.redpandaai.co/kieai/11402406/athena-refs/style_ref.jpg"],"aspect_ratio":"4:5"}}</t>
  </si>
  <si>
    <t>96f50754643442a5e8ad9985e02ac867</t>
  </si>
  <si>
    <t>https://tempfile.aiquickdraw.com/images/chatgpt/file_00000000afbc822fba8a35563055fbdf.png</t>
  </si>
  <si>
    <t>1d_vwteGKCQxsBB4OfGpwdFM38TeDlKAA</t>
  </si>
  <si>
    <t>https://drive.google.com/uc?id=1d_vwteGKCQxsBB4OfGpwdFM38TeDlKAA</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</si>
  <si>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'MY KID JUST NEEDS TO TRY HARDER'
Visual scene: The girl is pushing against a massive stone wall with everything she has — legs bent, shoulder pressed flat against it, teeth gritted, pure effort visible in every line of her posture. The wall is labeled in faint letters: 'wrong approach.' She is absolutely trying hard. The wall does not move. A few feet to her left, barely visible at the edge of the scene, is an open doorway through the same wall — no effort required, just a different path. She hasn't seen it. Nobody has pointed to it yet.
Insight line: 'Effort without direction is exhaustion. The question is never how hard — it is always how.'
Reference the provided style image to maintain visual consistency in palette, illustration style, and layout.</t>
  </si>
  <si>
    <t>sat_myth_1017</t>
  </si>
  <si>
    <t>Myth statement: 'SCORES ARE MOSTLY FIXED BY NATURAL ABILITY'
Visual scene: The girl sits at her desk looking at her first practice score written on a piece of paper — a number circled in pencil, unremarkable. Above her head, someone (implied adult, just a hand visible) has drawn a dotted line ceiling just inches above where she sits, as if placing a hard limit on her future. The ceiling is not real — it is literally a chalk line drawn in the air. Meanwhile, chalked quietly on the wall beside her is a simple upward curve — data points arcing higher and higher — and the ceiling line sits well below where the curve is heading. She hasn't looked at the wall yet. The ceiling is the only thing in the frame that is not real.
Insight line: 'A first score is not a verdict. It is a starting point. The ceiling is drawn in chalk — not stone.'</t>
  </si>
  <si>
    <t>Chalk ceiling drawn above a real upward curve is visually elegant and emotionally precise. The chalk-not-stone line is a genuinely fresh metaphor. Strong closer for a myth series.</t>
  </si>
  <si>
    <t>2026-07-17T12:57:22.521-07:00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</si>
  <si>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'SCORES ARE MOSTLY FIXED BY NATURAL ABILITY'\n\nVisual scene: The girl sits at her desk looking at her first practice score written on a piece of paper — a number circled in pencil, unremarkable. Above her head, someone (implied adult, just a hand visible) has drawn a dotted line ceiling just inches above where she sits, as if placing a hard limit on her future. The ceiling is not real — it is literally a chalk line drawn in the air. Meanwhile, chalked quietly on the wall beside her is a simple upward curve — data points arcing higher and higher — and the ceiling line sits well below where the curve is heading. She hasn't looked at the wall yet. The ceiling is the only thing in the frame that is not real.\n\nInsight line: 'A first score is not a verdict. It is a starting point. The ceiling is drawn in chalk — not stone.'\n\nReference the provided style image to maintain visual consistency in palette, illustration style, and layout.","input_urls":["https://tempfile.redpandaai.co/kieai/11402406/athena-refs/style_ref.jpg"],"aspect_ratio":"4:5"}}</t>
  </si>
  <si>
    <t>d4a74e78c6985d6a880e97d03ac946b5</t>
  </si>
  <si>
    <t>https://tempfile.aiquickdraw.com/images/chatgpt/file_000000006e40820c9367c00e91eda787.png</t>
  </si>
  <si>
    <t>1EEk3i_vFxVBh4K3o9mQaSifTREtg-_Q0</t>
  </si>
  <si>
    <t>https://drive.google.com/uc?id=1EEk3i_vFxVBh4K3o9mQaSifTREtg-_Q0</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</si>
  <si>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'SCORES ARE MOSTLY FIXED BY NATURAL ABILITY'
Visual scene: The girl sits at her desk looking at her first practice score written on a piece of paper — a number circled in pencil, unremarkable. Above her head, someone (implied adult, just a hand visible) has drawn a dotted line ceiling just inches above where she sits, as if placing a hard limit on her future. The ceiling is not real — it is literally a chalk line drawn in the air. Meanwhile, chalked quietly on the wall beside her is a simple upward curve — data points arcing higher and higher — and the ceiling line sits well below where the curve is heading. She hasn't looked at the wall yet. The ceiling is the only thing in the frame that is not real.
Insight line: 'A first score is not a verdict. It is a starting point. The ceiling is drawn in chalk — not stone.'
Reference the provided style image to maintain visual consistency in palette, illustration style, and layout.</t>
  </si>
  <si>
    <t>bt_1000</t>
  </si>
  <si>
    <t>Puzzle: A sequence of numbers is shown: 2, 6, 12, 20, 30, ?. Each number in the center board is written large and bold, separated by commas, with the final spot replaced by a big orange question mark below a dashed line. The answer is 42 — the pattern is n×(n+1) where n = 1, 2, 3, 4, 5, 6. Bottom oval instruction reads: 'Find the pattern.' The Beagle has a thought bubble showing '30 + ? = ...' with a scrunched-up thinking face.</t>
  </si>
  <si>
    <t>Clean visual sequence with clear pattern logic; Beagle thinking face adds warmth; fresh enough for engagement without being cliche</t>
  </si>
  <si>
    <t>2026-07-17T12:59:53.547-07:00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</si>
  <si>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sequence of numbers is shown: 2, 6, 12, 20, 30, ?. Each number in the center board is written large and bold, separated by commas, with the final spot replaced by a big orange question mark below a dashed line. The answer is 42 — the pattern is n×(n+1) where n = 1, 2, 3, 4, 5, 6. Bottom oval instruction reads: 'Find the pattern.' The Beagle has a thought bubble showing '30 + ? = ...' with a scrunched-up thinking face.\n\nReference the provided style image to maintain visual consistency in palette, illustration style, and layout.","input_urls":["https://tempfile.redpandaai.co/kieai/11402406/athena-refs/style_ref.jpg"],"aspect_ratio":"4:5"}}</t>
  </si>
  <si>
    <t>24124cf01f7743992dd1120a9aa19d6f</t>
  </si>
  <si>
    <t>https://tempfile.aiquickdraw.com/images/chatgpt/file_0000000067f482098a11f7ee0100e031.png</t>
  </si>
  <si>
    <t>1WgIbT0d9hHkGjIyTHZ3qWly0ktOmXgXn</t>
  </si>
  <si>
    <t>https://drive.google.com/uc?id=1WgIbT0d9hHkGjIyTHZ3qWly0ktOmXgXn</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</si>
  <si>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sequence of numbers is shown: 2, 6, 12, 20, 30, ?. Each number in the center board is written large and bold, separated by commas, with the final spot replaced by a big orange question mark below a dashed line. The answer is 42 — the pattern is n×(n+1) where n = 1, 2, 3, 4, 5, 6. Bottom oval instruction reads: 'Find the pattern.' The Beagle has a thought bubble showing '30 + ? = ...' with a scrunched-up thinking face.
Reference the provided style image to maintain visual consistency in palette, illustration style, and layout.</t>
  </si>
  <si>
    <t>bt_1001</t>
  </si>
  <si>
    <t>Puzzle: Three boxes are shown side by side inside the center board. Box 1: Triangle + Triangle = 10. Box 2: Triangle + Circle = 7. Box 3: Circle × Circle = ?. The shapes are large, bold, and color-coded (triangles in orange, circles in green). Answer: Triangle = 5, Circle = 2, so Circle × Circle = 4. Bottom oval reads: 'Classic SAT trap.' The Beagle sits next to the board pointing a paw at the last box, looking delighted.</t>
  </si>
  <si>
    <t>Shape algebra is visually concrete and instantly graspable; color-coding renders well; 'classic SAT trap' framing is honest and resonant</t>
  </si>
  <si>
    <t>2026-07-17T12:59:53.550-07:00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</si>
  <si>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Three boxes are shown side by side inside the center board. Box 1: Triangle + Triangle = 10. Box 2: Triangle + Circle = 7. Box 3: Circle × Circle = ?. The shapes are large, bold, and color-coded (triangles in orange, circles in green). Answer: Triangle = 5, Circle = 2, so Circle × Circle = 4. Bottom oval reads: 'Classic SAT trap.' The Beagle sits next to the board pointing a paw at the last box, looking delighted.\n\nReference the provided style image to maintain visual consistency in palette, illustration style, and layout.","input_urls":["https://tempfile.redpandaai.co/kieai/11402406/athena-refs/style_ref.jpg"],"aspect_ratio":"4:5"}}</t>
  </si>
  <si>
    <t>fa259f492b43972ee17bbf01c44812b5</t>
  </si>
  <si>
    <t>https://tempfile.aiquickdraw.com/images/chatgpt/file_0000000081c4822fb6c160f98d2b5342.png</t>
  </si>
  <si>
    <t>1cXRrWIW3f_aqWilUq-NliteaplrJcI1R</t>
  </si>
  <si>
    <t>https://drive.google.com/uc?id=1cXRrWIW3f_aqWilUq-NliteaplrJcI1R</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</si>
  <si>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Three boxes are shown side by side inside the center board. Box 1: Triangle + Triangle = 10. Box 2: Triangle + Circle = 7. Box 3: Circle × Circle = ?. The shapes are large, bold, and color-coded (triangles in orange, circles in green). Answer: Triangle = 5, Circle = 2, so Circle × Circle = 4. Bottom oval reads: 'Classic SAT trap.' The Beagle sits next to the board pointing a paw at the last box, looking delighted.
Reference the provided style image to maintain visual consistency in palette, illustration style, and layout.</t>
  </si>
  <si>
    <t>bt_1002</t>
  </si>
  <si>
    <t>Puzzle: A single bold sentence in the center board reads: 'A car travels 60 miles in 1.5 hours. At the same speed, how many minutes does it take to travel 10 miles?' Answer is 15 minutes (speed = 40 mph, so 10 miles takes 0.25 hours = 15 minutes). The number 10 and the word 'minutes' are underlined in orange for emphasis. Bottom oval reads: 'Think carefully — units matter.' The Beagle has a tiny toy car next to it and looks mid-calculation.</t>
  </si>
  <si>
    <t>Units trap is a genuine SAT pitfall parents and students recognize; toy car detail makes it charming and concrete; not overused</t>
  </si>
  <si>
    <t>2026-07-17T12:59:53.552-07:00</t>
  </si>
  <si>
    <t>bt_1003</t>
  </si>
  <si>
    <t>Puzzle: A small grid inside the center board shows four words arranged in a 2×2 layout — CALM, QUIET, LOUD, SERENE — with the question: 'Which word does NOT belong?' Answer: LOUD — the other three all mean peaceful/tranquil. The words are written in bold block letters, LOUD written slightly slanted as if it's trying to hide. Bottom oval reads: 'Can you solve it?' The Beagle looks suspicious, side-eyeing the word LOUD.</t>
  </si>
  <si>
    <t>Vocabulary odd-one-out is visually simple and fresh; the slanted LOUD detail is clever and renderable; side-eyeing Beagle is gold</t>
  </si>
  <si>
    <t>2026-07-17T12:59:53.555-07:00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</si>
  <si>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small grid inside the center board shows four words arranged in a 2×2 layout — CALM, QUIET, LOUD, SERENE — with the question: 'Which word does NOT belong?' Answer: LOUD — the other three all mean peaceful/tranquil. The words are written in bold block letters, LOUD written slightly slanted as if it's trying to hide. Bottom oval reads: 'Can you solve it?' The Beagle looks suspicious, side-eyeing the word LOUD.\n\nReference the provided style image to maintain visual consistency in palette, illustration style, and layout.","input_urls":["https://tempfile.redpandaai.co/kieai/11402406/athena-refs/style_ref.jpg"],"aspect_ratio":"4:5"}}</t>
  </si>
  <si>
    <t>fce88469fd2057e3b3aa7786c5c2ecf0</t>
  </si>
  <si>
    <t>https://tempfile.aiquickdraw.com/images/chatgpt/file_00000000f2b081fd9c350add7946f0be.png</t>
  </si>
  <si>
    <t>1nMaCePdTei_GCgL2eJIqnVBuB53XxlOw</t>
  </si>
  <si>
    <t>https://drive.google.com/uc?id=1nMaCePdTei_GCgL2eJIqnVBuB53XxlOw</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</si>
  <si>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small grid inside the center board shows four words arranged in a 2×2 layout — CALM, QUIET, LOUD, SERENE — with the question: 'Which word does NOT belong?' Answer: LOUD — the other three all mean peaceful/tranquil. The words are written in bold block letters, LOUD written slightly slanted as if it's trying to hide. Bottom oval reads: 'Can you solve it?' The Beagle looks suspicious, side-eyeing the word LOUD.
Reference the provided style image to maintain visual consistency in palette, illustration style, and layout.</t>
  </si>
  <si>
    <t>bt_1004</t>
  </si>
  <si>
    <t>Puzzle: A visual pattern of emoji-style shapes is shown in the center board — Row 1: Square, Circle, Triangle. Row 2: Circle, Triangle, Square. Row 3: Triangle, Square, ?. Each row and column contains all three shapes exactly once (like a mini 3×3 Sudoku). Answer: Circle. Shapes are drawn in bold hand-drawn style, orange/green/black. Bottom oval reads: 'Think carefully.' The Beagle is peering into the grid as if sniffing out the answer.</t>
  </si>
  <si>
    <t>Mini Sudoku grid is visually clean and immediately solvable; sniffing Beagle gag works perfectly; fresh and not SAT-cliche</t>
  </si>
  <si>
    <t>2026-07-17T12:59:53.558-07:00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</si>
  <si>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visual pattern of emoji-style shapes is shown in the center board — Row 1: Square, Circle, Triangle. Row 2: Circle, Triangle, Square. Row 3: Triangle, Square, ?. Each row and column contains all three shapes exactly once (like a mini 3×3 Sudoku). Answer: Circle. Shapes are drawn in bold hand-drawn style, orange/green/black. Bottom oval reads: 'Think carefully.' The Beagle is peering into the grid as if sniffing out the answer.\n\nReference the provided style image to maintain visual consistency in palette, illustration style, and layout.","input_urls":["https://tempfile.redpandaai.co/kieai/11402406/athena-refs/style_ref.jpg"],"aspect_ratio":"4:5"}}</t>
  </si>
  <si>
    <t>6921d74adcd427bc83639b2fe79ca061</t>
  </si>
  <si>
    <t>https://tempfile.aiquickdraw.com/images/chatgpt/file_00000000c26c81fbaee2149a0251a7a3.png</t>
  </si>
  <si>
    <t>1igngLxr74_o9J4ani_GvhiP9A9At1I1o</t>
  </si>
  <si>
    <t>https://drive.google.com/uc?id=1igngLxr74_o9J4ani_GvhiP9A9At1I1o</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</si>
  <si>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visual pattern of emoji-style shapes is shown in the center board — Row 1: Square, Circle, Triangle. Row 2: Circle, Triangle, Square. Row 3: Triangle, Square, ?. Each row and column contains all three shapes exactly once (like a mini 3×3 Sudoku). Answer: Circle. Shapes are drawn in bold hand-drawn style, orange/green/black. Bottom oval reads: 'Think carefully.' The Beagle is peering into the grid as if sniffing out the answer.
Reference the provided style image to maintain visual consistency in palette, illustration style, and layout.</t>
  </si>
  <si>
    <t>bt_1005</t>
  </si>
  <si>
    <t>Puzzle: The center board shows a simple word analogy in large bold text: 'ARCHITECT : BUILDING :: COMPOSER : ?' with four answer choices written below in bold: (A) Orchestra  (B) Notes  (C) Symphony  (D) Concert. Answer: (C) Symphony — an architect designs a building, a composer creates a symphony. The correct answer (C) is circled in orange in the answer reveal. Bottom oval reads: 'Can you solve it?' The Beagle is wearing tiny headphones and looks thoughtful.</t>
  </si>
  <si>
    <t>Word analogies are classic SAT verbal territory; visual layout with four answer choices is clean; headphone Beagle is on-brand and charming</t>
  </si>
  <si>
    <t>2026-07-17T12:59:53.561-07:00</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</si>
  <si>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The center board shows a simple word analogy in large bold text: 'ARCHITECT : BUILDING :: COMPOSER : ?' with four answer choices written below in bold: (A) Orchestra  (B) Notes  (C) Symphony  (D) Concert. Answer: (C) Symphony — an architect designs a building, a composer creates a symphony. The correct answer (C) is circled in orange in the answer reveal. Bottom oval reads: 'Can you solve it?' The Beagle is wearing tiny headphones and looks thoughtful.\n\nReference the provided style image to maintain visual consistency in palette, illustration style, and layout.","input_urls":["https://tempfile.redpandaai.co/kieai/11402406/athena-refs/style_ref.jpg"],"aspect_ratio":"4:5"}}</t>
  </si>
  <si>
    <t>c15f5c609a63d57b0be3856fd5b6b86b</t>
  </si>
  <si>
    <t>https://tempfile.aiquickdraw.com/images/chatgpt/file_00000000848881fda40b5ac60ab4eb94.png</t>
  </si>
  <si>
    <t>1Bof2TuB9xiTrMfTkWFLfDxoP-_690NZv</t>
  </si>
  <si>
    <t>https://drive.google.com/uc?id=1Bof2TuB9xiTrMfTkWFLfDxoP-_690NZv</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</si>
  <si>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The center board shows a simple word analogy in large bold text: 'ARCHITECT : BUILDING :: COMPOSER : ?' with four answer choices written below in bold: (A) Orchestra  (B) Notes  (C) Symphony  (D) Concert. Answer: (C) Symphony — an architect designs a building, a composer creates a symphony. The correct answer (C) is circled in orange in the answer reveal. Bottom oval reads: 'Can you solve it?' The Beagle is wearing tiny headphones and looks thoughtful.
Reference the provided style image to maintain visual consistency in palette, illustration style, and layout.</t>
  </si>
  <si>
    <t>bt_1006</t>
  </si>
  <si>
    <t>Puzzle: The center board reads: 'The average of five numbers is 14. Four of the numbers are 10, 12, 16, and 18. What is the fifth number?' Answer: Total must be 70 (5 × 14). Sum of four numbers = 56. Fifth number = 14. The equation 5 × 14 = 70 is shown as a faint hint line below the dashes. Bottom oval reads: 'Think carefully.' The Beagle has five dog treats laid out in front of it, counting on its paw.</t>
  </si>
  <si>
    <t>Average problem is a core SAT concept; dog treats as counters is an endearing visual gag; problem is clean and solvable at a glance</t>
  </si>
  <si>
    <t>2026-07-17T12:59:53.563-07:00</t>
  </si>
  <si>
    <t>comic_1000</t>
  </si>
  <si>
    <t>Title banner: 'SAT LOGIC — Reading Comp'
Panel 1 (Setup): Beagle sits at desk, chest puffed out, pencil gripped confidently. Open passage in front of him. He's nodding like he totally gets it. Dialogue bubble: 'I'VE READ THIS PARAGRAPH THREE TIMES. I GOT THIS.'
Panel 2 (Escalation): Close-up on the question below the passage. It reads: 'THE AUTHOR'S PRIMARY PURPOSE IS TO...' Beagle's eyes go wide. Pencil freezes mid-air.
Panel 3 (Hiccup): Beagle's paw hovering over four answer choices, all of which look equally plausible to him. Sweat drop appears. He mouths each option silently. Dialogue bubble: 'THEY ALL SOUND RIGHT.'
Panel 4 (Pivot): Athena leans in from the side, calm, one finger raised gently. She asks: 'WHAT DOES THE AUTHOR KEEP COMING BACK TO?'
Panel 5 (Beat): Beagle stares at the passage again. Ears slightly lifted. One slow blink. No dialogue. Clock on the wall in the background.
Panel 6 (Punchline): Beagle circles an answer. His expression is a flat, quiet realization. Small dialogue: '...i was reading the words. not the point.'</t>
  </si>
  <si>
    <t>Visually concrete panel-by-panel, Athena as calm teacher not AI, 'reading words not the point' is a genuine student pain point, fresh angle on a common struggle</t>
  </si>
  <si>
    <t>2026-07-17T13:01:42.598-07:00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</si>
  <si>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Reading Comp'\n\nPanel 1 (Setup): Beagle sits at desk, chest puffed out, pencil gripped confidently. Open passage in front of him. He's nodding like he totally gets it. Dialogue bubble: 'I'VE READ THIS PARAGRAPH THREE TIMES. I GOT THIS.'\n\nPanel 2 (Escalation): Close-up on the question below the passage. It reads: 'THE AUTHOR'S PRIMARY PURPOSE IS TO...' Beagle's eyes go wide. Pencil freezes mid-air.\n\nPanel 3 (Hiccup): Beagle's paw hovering over four answer choices, all of which look equally plausible to him. Sweat drop appears. He mouths each option silently. Dialogue bubble: 'THEY ALL SOUND RIGHT.'\n\nPanel 4 (Pivot): Athena leans in from the side, calm, one finger raised gently. She asks: 'WHAT DOES THE AUTHOR KEEP COMING BACK TO?'\n\nPanel 5 (Beat): Beagle stares at the passage again. Ears slightly lifted. One slow blink. No dialogue. Clock on the wall in the background.\n\nPanel 6 (Punchline): Beagle circles an answer. His expression is a flat, quiet realization. Small dialogue: '...i was reading the words. not the point.'\n\nReference the provided style image to maintain visual consistency in palette, illustration style, and layout.","input_urls":["https://tempfile.redpandaai.co/kieai/11402406/athena-refs/style_ref.jpg"],"aspect_ratio":"4:5"}}</t>
  </si>
  <si>
    <t>63cef05a8b6680123371312642103692</t>
  </si>
  <si>
    <t>https://tempfile.aiquickdraw.com/images/chatgpt/file_00000000bd2081fd88162c4fe9c8af6f.png</t>
  </si>
  <si>
    <t>1JWIXV01RywnBzugWwPyBNCxbHli8gLmi</t>
  </si>
  <si>
    <t>https://drive.google.com/uc?id=1JWIXV01RywnBzugWwPyBNCxbHli8gLmi</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</si>
  <si>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Reading Comp'
Panel 1 (Setup): Beagle sits at desk, chest puffed out, pencil gripped confidently. Open passage in front of him. He's nodding like he totally gets it. Dialogue bubble: 'I'VE READ THIS PARAGRAPH THREE TIMES. I GOT THIS.'
Panel 2 (Escalation): Close-up on the question below the passage. It reads: 'THE AUTHOR'S PRIMARY PURPOSE IS TO...' Beagle's eyes go wide. Pencil freezes mid-air.
Panel 3 (Hiccup): Beagle's paw hovering over four answer choices, all of which look equally plausible to him. Sweat drop appears. He mouths each option silently. Dialogue bubble: 'THEY ALL SOUND RIGHT.'
Panel 4 (Pivot): Athena leans in from the side, calm, one finger raised gently. She asks: 'WHAT DOES THE AUTHOR KEEP COMING BACK TO?'
Panel 5 (Beat): Beagle stares at the passage again. Ears slightly lifted. One slow blink. No dialogue. Clock on the wall in the background.
Panel 6 (Punchline): Beagle circles an answer. His expression is a flat, quiet realization. Small dialogue: '...i was reading the words. not the point.'
Reference the provided style image to maintain visual consistency in palette, illustration style, and layout.</t>
  </si>
  <si>
    <t>comic_1001</t>
  </si>
  <si>
    <t>Title banner: 'SAT LOGIC — Process of Elimination'
Panel 1 (Setup): Beagle proudly holds up a pencil and announces his strategy to no one in particular. Dialogue: 'TODAY I USE PROCESS OF ELIMINATION. LIKE A PROFESSIONAL.'
Panel 2 (Escalation): He crosses out answer choice A with great dramatic flair. Then B. Confident grin spreading.
Panel 3 (Hiccup): He stares at C and D. Crosses out D. Circles C. Then uncircles C. Then recircles D. Eraser dust everywhere. The paper is starting to tear slightly.
Panel 4 (Pivot): Athena appears, glancing at the shredded paper calmly. She asks: 'WHICH ONE DID YOU ELIMINATE FIRST?'
Panel 5 (Beat): Beagle looks down. The paper is a mess. He traces back his original cross-out on A. Then B. A small light goes on behind his eyes.
Panel 6 (Punchline): He circles C quietly. Ears drooping just a little. Small dialogue: '...i eliminated my way back to the wrong answer.'</t>
  </si>
  <si>
    <t>Eraser dust and torn paper are highly renderable, POE spiral is a real and relatable trap, Athena's redirect is subtle and human, punchline is fresh</t>
  </si>
  <si>
    <t>2026-07-17T13:01:42.600-07:00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</si>
  <si>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Process of Elimination'\n\nPanel 1 (Setup): Beagle proudly holds up a pencil and announces his strategy to no one in particular. Dialogue: 'TODAY I USE PROCESS OF ELIMINATION. LIKE A PROFESSIONAL.'\n\nPanel 2 (Escalation): He crosses out answer choice A with great dramatic flair. Then B. Confident grin spreading.\n\nPanel 3 (Hiccup): He stares at C and D. Crosses out D. Circles C. Then uncircles C. Then recircles D. Eraser dust everywhere. The paper is starting to tear slightly.\n\nPanel 4 (Pivot): Athena appears, glancing at the shredded paper calmly. She asks: 'WHICH ONE DID YOU ELIMINATE FIRST?'\n\nPanel 5 (Beat): Beagle looks down. The paper is a mess. He traces back his original cross-out on A. Then B. A small light goes on behind his eyes.\n\nPanel 6 (Punchline): He circles C quietly. Ears drooping just a little. Small dialogue: '...i eliminated my way back to the wrong answer.'\n\nReference the provided style image to maintain visual consistency in palette, illustration style, and layout.","input_urls":["https://tempfile.redpandaai.co/kieai/11402406/athena-refs/style_ref.jpg"],"aspect_ratio":"4:5"}}</t>
  </si>
  <si>
    <t>eefaff0a3c683f5a0882c2ce6b03b039</t>
  </si>
  <si>
    <t>https://tempfile.aiquickdraw.com/images/chatgpt/file_00000000681c81f5ba3e17f7b8d3761b.png</t>
  </si>
  <si>
    <t>1iGLzVBImXNRnY2YToTGfO4dQB5NffJVA</t>
  </si>
  <si>
    <t>https://drive.google.com/uc?id=1iGLzVBImXNRnY2YToTGfO4dQB5NffJVA</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</si>
  <si>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Process of Elimination'
Panel 1 (Setup): Beagle proudly holds up a pencil and announces his strategy to no one in particular. Dialogue: 'TODAY I USE PROCESS OF ELIMINATION. LIKE A PROFESSIONAL.'
Panel 2 (Escalation): He crosses out answer choice A with great dramatic flair. Then B. Confident grin spreading.
Panel 3 (Hiccup): He stares at C and D. Crosses out D. Circles C. Then uncircles C. Then recircles D. Eraser dust everywhere. The paper is starting to tear slightly.
Panel 4 (Pivot): Athena appears, glancing at the shredded paper calmly. She asks: 'WHICH ONE DID YOU ELIMINATE FIRST?'
Panel 5 (Beat): Beagle looks down. The paper is a mess. He traces back his original cross-out on A. Then B. A small light goes on behind his eyes.
Panel 6 (Punchline): He circles C quietly. Ears drooping just a little. Small dialogue: '...i eliminated my way back to the wrong answer.'
Reference the provided style image to maintain visual consistency in palette, illustration style, and layout.</t>
  </si>
  <si>
    <t>comic_1002</t>
  </si>
  <si>
    <t>Title banner: 'SAT LOGIC — Time Management'
Panel 1 (Setup): Beagle sits at his desk at the start of a timed section. Clock on the wall shows 35 minutes. He cracks his knuckles dramatically. Dialogue: 'PLENTY OF TIME. I WILL BE THOROUGH.'
Panel 2 (Escalation): Close-up on question 1. It's a long reading passage. Beagle leans forward, reading every single word slowly, lips moving. Clock now shows 20 minutes.
Panel 3 (Hiccup): Beagle looks up. Clock shows 4 minutes. He looks back down at his test. Only question 1 is answered. Stack of unanswered questions visible below.
Panel 4 (Pivot): Athena points at the clock — not urgently, just clearly. She says: 'HOW MANY ARE LEFT?'
Panel 5 (Beat): Beagle counts the remaining questions with one shaking paw. His eyes get very large. No dialogue. The clock ticks.
Panel 6 (Punchline): Beagle scribbles frantically, tongue out, pencil nearly on fire. Tiny dialogue in corner: '...thoroughness was not the strategy.'</t>
  </si>
  <si>
    <t>Clock as visual anchor works well across panels, time blindness is universal student anxiety, Athena points not panics — brand-aligned, not cliche</t>
  </si>
  <si>
    <t>2026-07-17T13:01:42.603-07:00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</si>
  <si>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Time Management'\n\nPanel 1 (Setup): Beagle sits at his desk at the start of a timed section. Clock on the wall shows 35 minutes. He cracks his knuckles dramatically. Dialogue: 'PLENTY OF TIME. I WILL BE THOROUGH.'\n\nPanel 2 (Escalation): Close-up on question 1. It's a long reading passage. Beagle leans forward, reading every single word slowly, lips moving. Clock now shows 20 minutes.\n\nPanel 3 (Hiccup): Beagle looks up. Clock shows 4 minutes. He looks back down at his test. Only question 1 is answered. Stack of unanswered questions visible below.\n\nPanel 4 (Pivot): Athena points at the clock — not urgently, just clearly. She says: 'HOW MANY ARE LEFT?'\n\nPanel 5 (Beat): Beagle counts the remaining questions with one shaking paw. His eyes get very large. No dialogue. The clock ticks.\n\nPanel 6 (Punchline): Beagle scribbles frantically, tongue out, pencil nearly on fire. Tiny dialogue in corner: '...thoroughness was not the strategy.'\n\nReference the provided style image to maintain visual consistency in palette, illustration style, and layout.","input_urls":["https://tempfile.redpandaai.co/kieai/11402406/athena-refs/style_ref.jpg"],"aspect_ratio":"4:5"}}</t>
  </si>
  <si>
    <t>5a0bebe98960ff8f224c21338fdec8b5</t>
  </si>
  <si>
    <t>https://tempfile.aiquickdraw.com/images/chatgpt/file_00000000482c81f5be3fd6feae2d95ab.png</t>
  </si>
  <si>
    <t>1fXrz7fIsWbU0JGnwW8q2oaAFGyPTaIjO</t>
  </si>
  <si>
    <t>https://drive.google.com/uc?id=1fXrz7fIsWbU0JGnwW8q2oaAFGyPTaIjO</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</si>
  <si>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Time Management'
Panel 1 (Setup): Beagle sits at his desk at the start of a timed section. Clock on the wall shows 35 minutes. He cracks his knuckles dramatically. Dialogue: 'PLENTY OF TIME. I WILL BE THOROUGH.'
Panel 2 (Escalation): Close-up on question 1. It's a long reading passage. Beagle leans forward, reading every single word slowly, lips moving. Clock now shows 20 minutes.
Panel 3 (Hiccup): Beagle looks up. Clock shows 4 minutes. He looks back down at his test. Only question 1 is answered. Stack of unanswered questions visible below.
Panel 4 (Pivot): Athena points at the clock — not urgently, just clearly. She says: 'HOW MANY ARE LEFT?'
Panel 5 (Beat): Beagle counts the remaining questions with one shaking paw. His eyes get very large. No dialogue. The clock ticks.
Panel 6 (Punchline): Beagle scribbles frantically, tongue out, pencil nearly on fire. Tiny dialogue in corner: '...thoroughness was not the strategy.'
Reference the provided style image to maintain visual consistency in palette, illustration style, and layout.</t>
  </si>
  <si>
    <t>comic_1003</t>
  </si>
  <si>
    <t>Title banner: 'SAT LOGIC — Vocab in Context'
Panel 1 (Setup): Beagle spots the word 'CONTENTIOUS' in a passage. He points at it with authority. Dialogue: 'I KNOW THIS WORD. IT MEANS CONTENT. LIKE, HAPPY.'
Panel 2 (Escalation): He confidently selects the answer choice with 'PLEASED' in it. Circles it with a flourish. Leans back in chair satisfied.
Panel 3 (Hiccup): He reads the sentence again. The context is clearly about a heated argument. His ears flatten. Dialogue: 'WAIT. NOBODY IN THIS PASSAGE SEEMS HAPPY.'
Panel 4 (Pivot): Athena taps the sentence around the word — not the word itself. She asks: 'WHAT'S HAPPENING IN THE SENTENCE?'
Panel 5 (Beat): Beagle re-reads the full sentence. Paw on chin. Something shifts. He erases his answer slowly.
Panel 6 (Punchline): He circles 'DISPUTED.' Expression is a quiet, slightly embarrassed nod. Small dialogue: '...the word was wearing a disguise.'</t>
  </si>
  <si>
    <t>Word wearing a disguise' punchline is strong and fresh, visual of confident circling then deflation is clear, context-over-definition is a real teachable moment</t>
  </si>
  <si>
    <t>2026-07-17T13:01:42.606-07:00</t>
  </si>
  <si>
    <t>comic_1004</t>
  </si>
  <si>
    <t>Title banner: 'SAT LOGIC — The Hard Math Question'
Panel 1 (Setup): Beagle flips to a hard algebra problem near the end of the math section. It's long. He rolls up his sleeves (metaphorically — paws up, ready). Dialogue: 'I WILL NOT SKIP. I WILL CONQUER.'
Panel 2 (Escalation): He fills his scratch paper with work. Numbers everywhere. Arrows. A small diagram. He's sweating but committed.
Panel 3 (Hiccup): He arrives at an answer: 47. He looks at the choices: 2, 6, 9, 12. His pencil hovers. None of them say 47. Dialogue: '...NONE OF THESE SAY 47.'
Panel 4 (Pivot): Athena glances at his scratch work and points to the very first line. She asks: 'WHAT DID YOU DO HERE?'
Panel 5 (Beat): Beagle stares at line one. He subtracted when he should have added. Everything after that was confidently, perfectly wrong. Long pause. Clock visible.
Panel 6 (Punchline): He erases everything. Starts over. Ears flat. Small dialogue: '...i built a very tall building on a crooked foundation.'</t>
  </si>
  <si>
    <t>Scratch paper chaos is visually rich, 'tall building on a crooked foundation' lands well, first-step error is a genuinely painful and common math experience</t>
  </si>
  <si>
    <t>2026-07-17T13:01:42.609-07:00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</si>
  <si>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Hard Math Question'\n\nPanel 1 (Setup): Beagle flips to a hard algebra problem near the end of the math section. It's long. He rolls up his sleeves (metaphorically — paws up, ready). Dialogue: 'I WILL NOT SKIP. I WILL CONQUER.'\n\nPanel 2 (Escalation): He fills his scratch paper with work. Numbers everywhere. Arrows. A small diagram. He's sweating but committed.\n\nPanel 3 (Hiccup): He arrives at an answer: 47. He looks at the choices: 2, 6, 9, 12. His pencil hovers. None of them say 47. Dialogue: '...NONE OF THESE SAY 47.'\n\nPanel 4 (Pivot): Athena glances at his scratch work and points to the very first line. She asks: 'WHAT DID YOU DO HERE?'\n\nPanel 5 (Beat): Beagle stares at line one. He subtracted when he should have added. Everything after that was confidently, perfectly wrong. Long pause. Clock visible.\n\nPanel 6 (Punchline): He erases everything. Starts over. Ears flat. Small dialogue: '...i built a very tall building on a crooked foundation.'\n\nReference the provided style image to maintain visual consistency in palette, illustration style, and layout.","input_urls":["https://tempfile.redpandaai.co/kieai/11402406/athena-refs/style_ref.jpg"],"aspect_ratio":"4:5"}}</t>
  </si>
  <si>
    <t>5196f58b6bbff94e457be9a1ff4a3ebc</t>
  </si>
  <si>
    <t>https://tempfile.aiquickdraw.com/images/chatgpt/file_000000009b94820cb8ae055c50751f25.png</t>
  </si>
  <si>
    <t>1hccahspqV0banm876ikyglhfyErqqMgB</t>
  </si>
  <si>
    <t>https://drive.google.com/uc?id=1hccahspqV0banm876ikyglhfyErqqMgB</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</si>
  <si>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Hard Math Question'
Panel 1 (Setup): Beagle flips to a hard algebra problem near the end of the math section. It's long. He rolls up his sleeves (metaphorically — paws up, ready). Dialogue: 'I WILL NOT SKIP. I WILL CONQUER.'
Panel 2 (Escalation): He fills his scratch paper with work. Numbers everywhere. Arrows. A small diagram. He's sweating but committed.
Panel 3 (Hiccup): He arrives at an answer: 47. He looks at the choices: 2, 6, 9, 12. His pencil hovers. None of them say 47. Dialogue: '...NONE OF THESE SAY 47.'
Panel 4 (Pivot): Athena glances at his scratch work and points to the very first line. She asks: 'WHAT DID YOU DO HERE?'
Panel 5 (Beat): Beagle stares at line one. He subtracted when he should have added. Everything after that was confidently, perfectly wrong. Long pause. Clock visible.
Panel 6 (Punchline): He erases everything. Starts over. Ears flat. Small dialogue: '...i built a very tall building on a crooked foundation.'
Reference the provided style image to maintain visual consistency in palette, illustration style, and layout.</t>
  </si>
  <si>
    <t>comic_1005</t>
  </si>
  <si>
    <t>Title banner: 'SAT LOGIC — Evidence Questions'
Panel 1 (Setup): Beagle reads a question asking him to pick the line of evidence that best supports his previous answer. He perks up. Dialogue: 'OH GOOD, A TWO-PART QUESTION. DOUBLE THE POINTS.'
Panel 2 (Escalation): He answers part one confidently. Circles it. Now looks at the four evidence choices for part two. Scans them quickly. Picks the one that 'sounds smart.'
Panel 3 (Hiccup): He checks back. His evidence choice doesn't actually connect to his part-one answer at all. He stares at both circled answers like strangers at a party. Dialogue: 'THEY DON'T... KNOW EACH OTHER.'
Panel 4 (Pivot): Athena holds up one finger between the two questions. She asks: 'DO THEY AGREE?'
Panel 5 (Beat): Beagle looks from one answer to the other. Back and forth. Slowly. His ears droop as he realizes he has to reconsider both.
Panel 6 (Punchline): He erases both answers and starts fresh, grumbling quietly. Small dialogue: '...they were supposed to be a team.'</t>
  </si>
  <si>
    <t>They don't know each other' is a funny and accurate description of paired evidence questions, dual-answer dynamic is visually distinguishable, Athena's one-finger gesture is elegant</t>
  </si>
  <si>
    <t>2026-07-17T13:01:42.611-07:00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</si>
  <si>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Evidence Questions'\n\nPanel 1 (Setup): Beagle reads a question asking him to pick the line of evidence that best supports his previous answer. He perks up. Dialogue: 'OH GOOD, A TWO-PART QUESTION. DOUBLE THE POINTS.'\n\nPanel 2 (Escalation): He answers part one confidently. Circles it. Now looks at the four evidence choices for part two. Scans them quickly. Picks the one that 'sounds smart.'\n\nPanel 3 (Hiccup): He checks back. His evidence choice doesn't actually connect to his part-one answer at all. He stares at both circled answers like strangers at a party. Dialogue: 'THEY DON'T... KNOW EACH OTHER.'\n\nPanel 4 (Pivot): Athena holds up one finger between the two questions. She asks: 'DO THEY AGREE?'\n\nPanel 5 (Beat): Beagle looks from one answer to the other. Back and forth. Slowly. His ears droop as he realizes he has to reconsider both.\n\nPanel 6 (Punchline): He erases both answers and starts fresh, grumbling quietly. Small dialogue: '...they were supposed to be a team.'\n\nReference the provided style image to maintain visual consistency in palette, illustration style, and layout.","input_urls":["https://tempfile.redpandaai.co/kieai/11402406/athena-refs/style_ref.jpg"],"aspect_ratio":"4:5"}}</t>
  </si>
  <si>
    <t>169a553f9b7dbbb88a1e52f30053f746</t>
  </si>
  <si>
    <t>https://tempfile.aiquickdraw.com/images/chatgpt/file_00000000777c820c87fabe81fdec1bdd.png</t>
  </si>
  <si>
    <t>1Wo_wiUtulyUVXvi66T7Uj02w9AA3rKbK</t>
  </si>
  <si>
    <t>https://drive.google.com/uc?id=1Wo_wiUtulyUVXvi66T7Uj02w9AA3rKbK</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</si>
  <si>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Evidence Questions'
Panel 1 (Setup): Beagle reads a question asking him to pick the line of evidence that best supports his previous answer. He perks up. Dialogue: 'OH GOOD, A TWO-PART QUESTION. DOUBLE THE POINTS.'
Panel 2 (Escalation): He answers part one confidently. Circles it. Now looks at the four evidence choices for part two. Scans them quickly. Picks the one that 'sounds smart.'
Panel 3 (Hiccup): He checks back. His evidence choice doesn't actually connect to his part-one answer at all. He stares at both circled answers like strangers at a party. Dialogue: 'THEY DON'T... KNOW EACH OTHER.'
Panel 4 (Pivot): Athena holds up one finger between the two questions. She asks: 'DO THEY AGREE?'
Panel 5 (Beat): Beagle looks from one answer to the other. Back and forth. Slowly. His ears droop as he realizes he has to reconsider both.
Panel 6 (Punchline): He erases both answers and starts fresh, grumbling quietly. Small dialogue: '...they were supposed to be a team.'
Reference the provided style image to maintain visual consistency in palette, illustration style, and layout.</t>
  </si>
  <si>
    <t>comic_1006</t>
  </si>
  <si>
    <t>Title banner: 'SAT LOGIC — Guessing Strategy'
Panel 1 (Setup): Beagle reaches a question he truly does not know. He looks left, then right, then up at the ceiling. Dialogue: 'I HAVE ABSOLUTELY NO IDEA. TIME TO GUESS.'
Panel 2 (Escalation): He closes his eyes, waves his pencil in a circle over the answer choices, and lands on B. With full commitment, he circles B. Nods solemnly.
Panel 3 (Hiccup): He realizes he already circled B for the last four questions. His eyes drift back over the page. Four B's in a row stare back at him. Dialogue: 'WAIT.'
Panel 4 (Pivot): Athena sits beside him, calm. She asks: 'CAN YOU RULE ANY OUT?'
Panel 5 (Beat): Beagle actually reads the question this time. Slowly eliminates one answer. Then another. His expression softens from panic into something like focus.
Panel 6 (Punchline): He circles C. Not B. A small, tired sigh. Small dialogue: '...a guess with fewer options is still a better guess.'</t>
  </si>
  <si>
    <t>Four B's in a row is a strong visual gag, pivot from superstition to strategy is brand-appropriate, punchline reframes guessing without dismissing it</t>
  </si>
  <si>
    <t>2026-07-17T13:01:42.614-07:00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</si>
  <si>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Guessing Strategy'\n\nPanel 1 (Setup): Beagle reaches a question he truly does not know. He looks left, then right, then up at the ceiling. Dialogue: 'I HAVE ABSOLUTELY NO IDEA. TIME TO GUESS.'\n\nPanel 2 (Escalation): He closes his eyes, waves his pencil in a circle over the answer choices, and lands on B. With full commitment, he circles B. Nods solemnly.\n\nPanel 3 (Hiccup): He realizes he already circled B for the last four questions. His eyes drift back over the page. Four B's in a row stare back at him. Dialogue: 'WAIT.'\n\nPanel 4 (Pivot): Athena sits beside him, calm. She asks: 'CAN YOU RULE ANY OUT?'\n\nPanel 5 (Beat): Beagle actually reads the question this time. Slowly eliminates one answer. Then another. His expression softens from panic into something like focus.\n\nPanel 6 (Punchline): He circles C. Not B. A small, tired sigh. Small dialogue: '...a guess with fewer options is still a better guess.'\n\nReference the provided style image to maintain visual consistency in palette, illustration style, and layout.","input_urls":["https://tempfile.redpandaai.co/kieai/11402406/athena-refs/style_ref.jpg"],"aspect_ratio":"4:5"}}</t>
  </si>
  <si>
    <t>c1a3e3e43956c1371b7391895ad8b7d2</t>
  </si>
  <si>
    <t>https://tempfile.aiquickdraw.com/images/chatgpt/file_00000000ef1c8230aa3836bd9b3f5d97.png</t>
  </si>
  <si>
    <t>1c3Be8fh4eJ2GrAlHdWigUarPyo0WdSWa</t>
  </si>
  <si>
    <t>https://drive.google.com/uc?id=1c3Be8fh4eJ2GrAlHdWigUarPyo0WdSWa</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</si>
  <si>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Guessing Strategy'
Panel 1 (Setup): Beagle reaches a question he truly does not know. He looks left, then right, then up at the ceiling. Dialogue: 'I HAVE ABSOLUTELY NO IDEA. TIME TO GUESS.'
Panel 2 (Escalation): He closes his eyes, waves his pencil in a circle over the answer choices, and lands on B. With full commitment, he circles B. Nods solemnly.
Panel 3 (Hiccup): He realizes he already circled B for the last four questions. His eyes drift back over the page. Four B's in a row stare back at him. Dialogue: 'WAIT.'
Panel 4 (Pivot): Athena sits beside him, calm. She asks: 'CAN YOU RULE ANY OUT?'
Panel 5 (Beat): Beagle actually reads the question this time. Slowly eliminates one answer. Then another. His expression softens from panic into something like focus.
Panel 6 (Punchline): He circles C. Not B. A small, tired sigh. Small dialogue: '...a guess with fewer options is still a better guess.'
Reference the provided style image to maintain visual consistency in palette, illustration style, and layout.</t>
  </si>
  <si>
    <t>comic_1007</t>
  </si>
  <si>
    <t>Title banner: 'SAT LOGIC — The Night Before'
Panel 1 (Setup): Beagle sits at his desk at 11pm, surrounded by every SAT prep book he owns. Stack nearly topples. Determined expression. Dialogue: 'I WILL LEARN EVERYTHING TONIGHT.'
Panel 2 (Escalation): He opens a book to a grammar chapter. Takes frantic notes. Opens another to math formulas. Writes faster. Opens a third. Notes multiply.
Panel 3 (Hiccup): Close-up on Beagle's face: eyes glazed, pencil drooping, a single drool starting. The clock on the wall reads 1:47am. Papers everywhere.
Panel 4 (Pivot): Athena appears in the doorway, calm, holding nothing. She simply asks: 'WHEN IS THE TEST?'
Panel 5 (Beat): Beagle looks at his phone. The alarm he set reads: 7:00am. He looks back at his pile. He looks back at the phone. Silence.
Panel 6 (Punchline): He closes all the books. Turns off the light. One book falls to the floor. Small dialogue: '...the cramming was for me, not for the test.'</t>
  </si>
  <si>
    <t>Night-before cramming is universal but the 'cramming was for me not the test' punchline elevates it past cliche, 1:47am clock is a concrete and resonant visual detail</t>
  </si>
  <si>
    <t>2026-07-17T13:01:42.617-07:00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</si>
  <si>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Night Before'\n\nPanel 1 (Setup): Beagle sits at his desk at 11pm, surrounded by every SAT prep book he owns. Stack nearly topples. Determined expression. Dialogue: 'I WILL LEARN EVERYTHING TONIGHT.'\n\nPanel 2 (Escalation): He opens a book to a grammar chapter. Takes frantic notes. Opens another to math formulas. Writes faster. Opens a third. Notes multiply.\n\nPanel 3 (Hiccup): Close-up on Beagle's face: eyes glazed, pencil drooping, a single drool starting. The clock on the wall reads 1:47am. Papers everywhere.\n\nPanel 4 (Pivot): Athena appears in the doorway, calm, holding nothing. She simply asks: 'WHEN IS THE TEST?'\n\nPanel 5 (Beat): Beagle looks at his phone. The alarm he set reads: 7:00am. He looks back at his pile. He looks back at the phone. Silence.\n\nPanel 6 (Punchline): He closes all the books. Turns off the light. One book falls to the floor. Small dialogue: '...the cramming was for me, not for the test.'\n\nReference the provided style image to maintain visual consistency in palette, illustration style, and layout.","input_urls":["https://tempfile.redpandaai.co/kieai/11402406/athena-refs/style_ref.jpg"],"aspect_ratio":"4:5"}}</t>
  </si>
  <si>
    <t>5bfa144793ae1cec25f21ce20fe09de7</t>
  </si>
  <si>
    <t>https://tempfile.aiquickdraw.com/images/chatgpt/file_00000000b9e481f59304d7070a17c9ca.png</t>
  </si>
  <si>
    <t>1QnfIUdLFzzPUaReQLTkLaDW3YNLBff_G</t>
  </si>
  <si>
    <t>https://drive.google.com/uc?id=1QnfIUdLFzzPUaReQLTkLaDW3YNLBff_G</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</si>
  <si>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Night Before'
Panel 1 (Setup): Beagle sits at his desk at 11pm, surrounded by every SAT prep book he owns. Stack nearly topples. Determined expression. Dialogue: 'I WILL LEARN EVERYTHING TONIGHT.'
Panel 2 (Escalation): He opens a book to a grammar chapter. Takes frantic notes. Opens another to math formulas. Writes faster. Opens a third. Notes multiply.
Panel 3 (Hiccup): Close-up on Beagle's face: eyes glazed, pencil drooping, a single drool starting. The clock on the wall reads 1:47am. Papers everywhere.
Panel 4 (Pivot): Athena appears in the doorway, calm, holding nothing. She simply asks: 'WHEN IS THE TEST?'
Panel 5 (Beat): Beagle looks at his phone. The alarm he set reads: 7:00am. He looks back at his pile. He looks back at the phone. Silence.
Panel 6 (Punchline): He closes all the books. Turns off the light. One book falls to the floor. Small dialogue: '...the cramming was for me, not for the test.'
Reference the provided style image to maintain visual consistency in palette, illustration style, and layout.</t>
  </si>
  <si>
    <t>comic_1008</t>
  </si>
  <si>
    <t>Title banner: 'SAT LOGIC — Comma Rules'
Panel 1 (Setup): Beagle stares at a Writing question about comma placement. He squints. Dialogue: 'I WILL USE MY EAR. IF IT SOUNDS RIGHT, IT IS RIGHT.'
Panel 2 (Escalation): He reads the sentence aloud, pausing dramatically at random spots. Adds a comma after 'however.' Adds one after 'therefore.' Adds one between 'peanut' and 'butter' just to be safe. Dialogue: 'COMMAS. PLACED. CONFIDENTLY.'
Panel 3 (Hiccup): He looks at the answer choices. His version has four commas. No answer choice matches his version. Not even close. Dialogue: 'WHERE DID THEY ALL GO?'
Panel 4 (Pivot): Athena leans in and taps the word 'HOWEVER' in the sentence. She asks: 'IS THIS JOINING TWO COMPLETE IDEAS?'
Panel 5 (Beat): Beagle reads both sides of the comma. Slowly mouths each clause. His ears perk slightly as something clicks.
Panel 6 (Punchline): He erases three commas. Keeps one. Reluctant but resolved. Small dialogue: '...my ear has been lying to me for years.'</t>
  </si>
  <si>
    <t>Comma chaos is visually funny and renderable, 'my ear has been lying to me' is a quotable line parents will recognize, grammar content is underrepresented in SAT humor</t>
  </si>
  <si>
    <t>2026-07-17T13:01:42.620-07:00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</si>
  <si>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Comma Rules'\n\nPanel 1 (Setup): Beagle stares at a Writing question about comma placement. He squints. Dialogue: 'I WILL USE MY EAR. IF IT SOUNDS RIGHT, IT IS RIGHT.'\n\nPanel 2 (Escalation): He reads the sentence aloud, pausing dramatically at random spots. Adds a comma after 'however.' Adds one after 'therefore.' Adds one between 'peanut' and 'butter' just to be safe. Dialogue: 'COMMAS. PLACED. CONFIDENTLY.'\n\nPanel 3 (Hiccup): He looks at the answer choices. His version has four commas. No answer choice matches his version. Not even close. Dialogue: 'WHERE DID THEY ALL GO?'\n\nPanel 4 (Pivot): Athena leans in and taps the word 'HOWEVER' in the sentence. She asks: 'IS THIS JOINING TWO COMPLETE IDEAS?'\n\nPanel 5 (Beat): Beagle reads both sides of the comma. Slowly mouths each clause. His ears perk slightly as something clicks.\n\nPanel 6 (Punchline): He erases three commas. Keeps one. Reluctant but resolved. Small dialogue: '...my ear has been lying to me for years.'\n\nReference the provided style image to maintain visual consistency in palette, illustration style, and layout.","input_urls":["https://tempfile.redpandaai.co/kieai/11402406/athena-refs/style_ref.jpg"],"aspect_ratio":"4:5"}}</t>
  </si>
  <si>
    <t>36b493a65a77b903479c06d1c6efcca6</t>
  </si>
  <si>
    <t>https://tempfile.aiquickdraw.com/images/chatgpt/file_00000000f8a481f8ba05007ad797df80.png</t>
  </si>
  <si>
    <t>1WetMA-KcTPlBB3XFeEimnVNLRjbjg8Th</t>
  </si>
  <si>
    <t>https://drive.google.com/uc?id=1WetMA-KcTPlBB3XFeEimnVNLRjbjg8Th</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</si>
  <si>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Comma Rules'
Panel 1 (Setup): Beagle stares at a Writing question about comma placement. He squints. Dialogue: 'I WILL USE MY EAR. IF IT SOUNDS RIGHT, IT IS RIGHT.'
Panel 2 (Escalation): He reads the sentence aloud, pausing dramatically at random spots. Adds a comma after 'however.' Adds one after 'therefore.' Adds one between 'peanut' and 'butter' just to be safe. Dialogue: 'COMMAS. PLACED. CONFIDENTLY.'
Panel 3 (Hiccup): He looks at the answer choices. His version has four commas. No answer choice matches his version. Not even close. Dialogue: 'WHERE DID THEY ALL GO?'
Panel 4 (Pivot): Athena leans in and taps the word 'HOWEVER' in the sentence. She asks: 'IS THIS JOINING TWO COMPLETE IDEAS?'
Panel 5 (Beat): Beagle reads both sides of the comma. Slowly mouths each clause. His ears perk slightly as something clicks.
Panel 6 (Punchline): He erases three commas. Keeps one. Reluctant but resolved. Small dialogue: '...my ear has been lying to me for years.'
Reference the provided style image to maintain visual consistency in palette, illustration style, and layout.</t>
  </si>
  <si>
    <t>comic_1009</t>
  </si>
  <si>
    <t>Title banner: 'SAT LOGIC — Score Report'
Panel 1 (Setup): Beagle sits at his desk, practice test score report face-down in front of him. He puts on a brave face. Dialogue: 'I AM READY. I PREPARED. I AM CALM.'
Panel 2 (Escalation): He flips it over. Eyes go immediately to the total score. His expression does not change. It is very controlled. Too controlled.
Panel 3 (Hiccup): Tiny details start breaking through the calm: one ear twitches. A single sweat drop. He re-reads the score. Reads it again. Dialogue: 'HMM.'
Panel 4 (Pivot): Athena sits across from him, unhurried. She asks: 'WHICH SECTION DO YOU WANT TO LOOK AT FIRST?'
Panel 5 (Beat): Beagle looks up from the score. The question redirects him from the number to something he can actually do. His paw moves to the breakdown section. Slowly.
Panel 6 (Punchline): He circles 'READING: 62%' with his pencil. The total score is still visible in the corner. He's not looking at it anymore. Small dialogue: '...the number is not the lesson. the breakdown is.'</t>
  </si>
  <si>
    <t>Score report face-down is instantly recognizable tension, redirect from total score to breakdown section models good coaching behavior, emotionally resonant for parents without being melodramatic</t>
  </si>
  <si>
    <t>2026-07-17T13:01:42.623-07:00</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</si>
  <si>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Score Report'\n\nPanel 1 (Setup): Beagle sits at his desk, practice test score report face-down in front of him. He puts on a brave face. Dialogue: 'I AM READY. I PREPARED. I AM CALM.'\n\nPanel 2 (Escalation): He flips it over. Eyes go immediately to the total score. His expression does not change. It is very controlled. Too controlled.\n\nPanel 3 (Hiccup): Tiny details start breaking through the calm: one ear twitches. A single sweat drop. He re-reads the score. Reads it again. Dialogue: 'HMM.'\n\nPanel 4 (Pivot): Athena sits across from him, unhurried. She asks: 'WHICH SECTION DO YOU WANT TO LOOK AT FIRST?'\n\nPanel 5 (Beat): Beagle looks up from the score. The question redirects him from the number to something he can actually do. His paw moves to the breakdown section. Slowly.\n\nPanel 6 (Punchline): He circles 'READING: 62%' with his pencil. The total score is still visible in the corner. He's not looking at it anymore. Small dialogue: '...the number is not the lesson. the breakdown is.'\n\nReference the provided style image to maintain visual consistency in palette, illustration style, and layout.","input_urls":["https://tempfile.redpandaai.co/kieai/11402406/athena-refs/style_ref.jpg"],"aspect_ratio":"4:5"}}</t>
  </si>
  <si>
    <t>fdee9515b9fdf88046274f12cd9c6251</t>
  </si>
  <si>
    <t>https://tempfile.aiquickdraw.com/images/chatgpt/file_00000000e788822fad0128e40867ff4f.png</t>
  </si>
  <si>
    <t>1SHyHQrss6hpg7gSWoCtN9LkiVjwTayD1</t>
  </si>
  <si>
    <t>https://drive.google.com/uc?id=1SHyHQrss6hpg7gSWoCtN9LkiVjwTayD1</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</si>
  <si>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Score Report'
Panel 1 (Setup): Beagle sits at his desk, practice test score report face-down in front of him. He puts on a brave face. Dialogue: 'I AM READY. I PREPARED. I AM CALM.'
Panel 2 (Escalation): He flips it over. Eyes go immediately to the total score. His expression does not change. It is very controlled. Too controlled.
Panel 3 (Hiccup): Tiny details start breaking through the calm: one ear twitches. A single sweat drop. He re-reads the score. Reads it again. Dialogue: 'HMM.'
Panel 4 (Pivot): Athena sits across from him, unhurried. She asks: 'WHICH SECTION DO YOU WANT TO LOOK AT FIRST?'
Panel 5 (Beat): Beagle looks up from the score. The question redirects him from the number to something he can actually do. His paw moves to the breakdown section. Slowly.
Panel 6 (Punchline): He circles 'READING: 62%' with his pencil. The total score is still visible in the corner. He's not looking at it anymore. Small dialogue: '...the number is not the lesson. the breakdown is.'
Reference the provided style image to maintain visual consistency in palette, illustration style, and layout.</t>
  </si>
  <si>
    <t>be_1001</t>
  </si>
  <si>
    <t>Title panel: 'Why does every SAT reading passage feel like a trap?' Panel 1: Beagle sits upright at a desk, head tilted, staring at a printed SAT reading passage. Expression: deeply suspicious. Text: 'You read every word.' Panel 2: Close-up of Beagle's face, one eyebrow raised, paw pressing on the passage. Text: 'You understood it.' Panel 3: Medium shot, Beagle looking at the answer choices, jaw slightly dropped. Text: 'And somehow... two answers both seem right.' Panel 4: Side profile of Beagle slumped forward, chin resting on the desk. Text: 'That is not an accident.' Panel 5: Beagle sitting up straight, looking directly at the viewer. Text: 'The SAT always includes one answer that sounds right but answers the wrong question.' Panel 6: Over-the-shoulder shot of Beagle circling a phrase on the passage with a pencil. Text: 'The real trick? Go back to what the question actually asked.' Panel 7: Beagle smiling, ears perked, holding pencil up triumphantly. Text: 'Read the question. Find the evidence. Then choose.' Final panel (aha moment): Beagle leaning toward the viewer with a warm, knowing grin. One paw points at the viewer. Text: 'The passage is not the trap. Forgetting the question is.'</t>
  </si>
  <si>
    <t>Visually concrete panel-by-panel progression, warm teacher tone, addresses a real student frustration with a genuine aha moment that feels earned</t>
  </si>
  <si>
    <t>2026-07-17T13:03:46.331-07:00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</si>
  <si>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every SAT reading passage feel like a trap?' Panel 1: Beagle sits upright at a desk, head tilted, staring at a printed SAT reading passage. Expression: deeply suspicious. Text: 'You read every word.' Panel 2: Close-up of Beagle's face, one eyebrow raised, paw pressing on the passage. Text: 'You understood it.' Panel 3: Medium shot, Beagle looking at the answer choices, jaw slightly dropped. Text: 'And somehow... two answers both seem right.' Panel 4: Side profile of Beagle slumped forward, chin resting on the desk. Text: 'That is not an accident.' Panel 5: Beagle sitting up straight, looking directly at the viewer. Text: 'The SAT always includes one answer that sounds right but answers the wrong question.' Panel 6: Over-the-shoulder shot of Beagle circling a phrase on the passage with a pencil. Text: 'The real trick? Go back to what the question actually asked.' Panel 7: Beagle smiling, ears perked, holding pencil up triumphantly. Text: 'Read the question. Find the evidence. Then choose.' Final panel (aha moment): Beagle leaning toward the viewer with a warm, knowing grin. One paw points at the viewer. Text: 'The passage is not the trap. Forgetting the question is.'\n\nReference the provided style image to maintain visual consistency in palette, illustration style, and layout.","input_urls":["https://tempfile.redpandaai.co/kieai/11402406/athena-refs/style_ref.jpg"],"aspect_ratio":"4:5"}}</t>
  </si>
  <si>
    <t>4ef6031bec3c6e1fae58eba12384a25a</t>
  </si>
  <si>
    <t>https://tempfile.aiquickdraw.com/images/chatgpt/file_0000000089a481f7b149f3af5797f1b8.png</t>
  </si>
  <si>
    <t>1eeP7pdNwA2Hl7dqvxekbNNHSrsyB4oqa</t>
  </si>
  <si>
    <t>https://drive.google.com/uc?id=1eeP7pdNwA2Hl7dqvxekbNNHSrsyB4oqa</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</si>
  <si>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every SAT reading passage feel like a trap?' Panel 1: Beagle sits upright at a desk, head tilted, staring at a printed SAT reading passage. Expression: deeply suspicious. Text: 'You read every word.' Panel 2: Close-up of Beagle's face, one eyebrow raised, paw pressing on the passage. Text: 'You understood it.' Panel 3: Medium shot, Beagle looking at the answer choices, jaw slightly dropped. Text: 'And somehow... two answers both seem right.' Panel 4: Side profile of Beagle slumped forward, chin resting on the desk. Text: 'That is not an accident.' Panel 5: Beagle sitting up straight, looking directly at the viewer. Text: 'The SAT always includes one answer that sounds right but answers the wrong question.' Panel 6: Over-the-shoulder shot of Beagle circling a phrase on the passage with a pencil. Text: 'The real trick? Go back to what the question actually asked.' Panel 7: Beagle smiling, ears perked, holding pencil up triumphantly. Text: 'Read the question. Find the evidence. Then choose.' Final panel (aha moment): Beagle leaning toward the viewer with a warm, knowing grin. One paw points at the viewer. Text: 'The passage is not the trap. Forgetting the question is.'
Reference the provided style image to maintain visual consistency in palette, illustration style, and layout.</t>
  </si>
  <si>
    <t>be_1002</t>
  </si>
  <si>
    <t>Title panel: 'Why does your score drop when you rush?' Panel 1: Beagle glancing at a timer on the desk, ears flat, eyes wide. Expression: low-level panic. Text: 'You see the clock.' Panel 2: Medium shot, Beagle scribbling answers quickly, pencil moving in a blur. Text: 'You speed up.' Panel 3: Close-up of Beagle's face looking at a returned practice test, expression crushed. Text: 'And somehow you get more wrong.' Panel 4: Beagle sitting back, paw on chin, thinking. Text: 'Here is what actually happens inside your brain.' Panel 5: Side angle of Beagle at a small whiteboard sketching two columns: 'Slow brain' and 'Fast brain.' Text: 'Rushing activates your fast brain. Fast brain skips. Fast brain assumes.' Panel 6: Beagle pointing at the whiteboard, expression calm and certain. Text: 'The SAT is designed to punish assumptions.' Panel 7: Beagle writing slowly and deliberately in a notebook, relaxed posture. Text: 'Slowing down by 10 seconds per question saves minutes of re-reading.' Final panel (aha moment): Beagle looking directly at the viewer, a small clock beside them, expression warm. Text: 'The timer is not your enemy. Panic is.'</t>
  </si>
  <si>
    <t>Clock and panic are highly visual, slow vs fast brain whiteboard moment is clean and renderable, insight about panic vs timer is fresh enough</t>
  </si>
  <si>
    <t>2026-07-17T13:03:46.335-07:00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</si>
  <si>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score drop when you rush?' Panel 1: Beagle glancing at a timer on the desk, ears flat, eyes wide. Expression: low-level panic. Text: 'You see the clock.' Panel 2: Medium shot, Beagle scribbling answers quickly, pencil moving in a blur. Text: 'You speed up.' Panel 3: Close-up of Beagle's face looking at a returned practice test, expression crushed. Text: 'And somehow you get more wrong.' Panel 4: Beagle sitting back, paw on chin, thinking. Text: 'Here is what actually happens inside your brain.' Panel 5: Side angle of Beagle at a small whiteboard sketching two columns: 'Slow brain' and 'Fast brain.' Text: 'Rushing activates your fast brain. Fast brain skips. Fast brain assumes.' Panel 6: Beagle pointing at the whiteboard, expression calm and certain. Text: 'The SAT is designed to punish assumptions.' Panel 7: Beagle writing slowly and deliberately in a notebook, relaxed posture. Text: 'Slowing down by 10 seconds per question saves minutes of re-reading.' Final panel (aha moment): Beagle looking directly at the viewer, a small clock beside them, expression warm. Text: 'The timer is not your enemy. Panic is.'\n\nReference the provided style image to maintain visual consistency in palette, illustration style, and layout.","input_urls":["https://tempfile.redpandaai.co/kieai/11402406/athena-refs/style_ref.jpg"],"aspect_ratio":"4:5"}}</t>
  </si>
  <si>
    <t>de82e2aa27b4deced67801aacdc4b3fb</t>
  </si>
  <si>
    <t>https://tempfile.aiquickdraw.com/images/chatgpt/file_000000000fc0822f89ca0738d4995c8f.png</t>
  </si>
  <si>
    <t>17rPBiaZp0VKCCM9vyWuGarPq5CTzQiDJ</t>
  </si>
  <si>
    <t>https://drive.google.com/uc?id=17rPBiaZp0VKCCM9vyWuGarPq5CTzQiDJ</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</si>
  <si>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score drop when you rush?' Panel 1: Beagle glancing at a timer on the desk, ears flat, eyes wide. Expression: low-level panic. Text: 'You see the clock.' Panel 2: Medium shot, Beagle scribbling answers quickly, pencil moving in a blur. Text: 'You speed up.' Panel 3: Close-up of Beagle's face looking at a returned practice test, expression crushed. Text: 'And somehow you get more wrong.' Panel 4: Beagle sitting back, paw on chin, thinking. Text: 'Here is what actually happens inside your brain.' Panel 5: Side angle of Beagle at a small whiteboard sketching two columns: 'Slow brain' and 'Fast brain.' Text: 'Rushing activates your fast brain. Fast brain skips. Fast brain assumes.' Panel 6: Beagle pointing at the whiteboard, expression calm and certain. Text: 'The SAT is designed to punish assumptions.' Panel 7: Beagle writing slowly and deliberately in a notebook, relaxed posture. Text: 'Slowing down by 10 seconds per question saves minutes of re-reading.' Final panel (aha moment): Beagle looking directly at the viewer, a small clock beside them, expression warm. Text: 'The timer is not your enemy. Panic is.'
Reference the provided style image to maintain visual consistency in palette, illustration style, and layout.</t>
  </si>
  <si>
    <t>be_1003</t>
  </si>
  <si>
    <t>Title panel: 'Why do you keep making the same math mistake over and over?' Panel 1: Beagle reviewing a graded practice test, circling a wrong answer. Expression: frustrated but curious. Text: 'You got it wrong again.' Panel 2: Close-up of Beagle squinting at the circled problem. Text: 'Same type. Same mistake.' Panel 3: Medium shot, Beagle flopping back in the chair, staring at the ceiling. Text: 'It feels like your brain just will not cooperate.' Panel 4: Beagle sitting up, paw raised gently. Text: 'But this is actually a clue.' Panel 5: Side profile of Beagle writing in a notebook labeled 'My mistake patterns.' Text: 'Every repeated mistake is a habit, not a gap in intelligence.' Panel 6: Over-the-shoulder shot of Beagle crossing out old work and rewriting a problem step-by-step slowly. Text: 'Habits only break when you slow down and do it the right way enough times.' Panel 7: Beagle holding up the notebook, smiling, one ear flopped. Text: 'Name your mistake. Write it down. Then practice the fix — not the problem.' Final panel (aha moment): Beagle looking warmly at viewer, pencil tucked behind ear. Text: 'You are not bad at math. You are practicing the wrong version of it.'</t>
  </si>
  <si>
    <t>Mistake pattern notebook is a concrete visual anchor, reframes failure as habit not intelligence which resonates strongly with stuck students and worried parents</t>
  </si>
  <si>
    <t>2026-07-17T13:03:46.338-07:00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</si>
  <si>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keep making the same math mistake over and over?' Panel 1: Beagle reviewing a graded practice test, circling a wrong answer. Expression: frustrated but curious. Text: 'You got it wrong again.' Panel 2: Close-up of Beagle squinting at the circled problem. Text: 'Same type. Same mistake.' Panel 3: Medium shot, Beagle flopping back in the chair, staring at the ceiling. Text: 'It feels like your brain just will not cooperate.' Panel 4: Beagle sitting up, paw raised gently. Text: 'But this is actually a clue.' Panel 5: Side profile of Beagle writing in a notebook labeled 'My mistake patterns.' Text: 'Every repeated mistake is a habit, not a gap in intelligence.' Panel 6: Over-the-shoulder shot of Beagle crossing out old work and rewriting a problem step-by-step slowly. Text: 'Habits only break when you slow down and do it the right way enough times.' Panel 7: Beagle holding up the notebook, smiling, one ear flopped. Text: 'Name your mistake. Write it down. Then practice the fix — not the problem.' Final panel (aha moment): Beagle looking warmly at viewer, pencil tucked behind ear. Text: 'You are not bad at math. You are practicing the wrong version of it.'\n\nReference the provided style image to maintain visual consistency in palette, illustration style, and layout.","input_urls":["https://tempfile.redpandaai.co/kieai/11402406/athena-refs/style_ref.jpg"],"aspect_ratio":"4:5"}}</t>
  </si>
  <si>
    <t>7ad16f529063b95612f8de9a55c9d40d</t>
  </si>
  <si>
    <t>https://tempfile.aiquickdraw.com/images/chatgpt/file_000000009468820ca63d19c893b77a54.png</t>
  </si>
  <si>
    <t>1RcenUgdXXOG5jyzQghL683jv8RGTEezB</t>
  </si>
  <si>
    <t>https://drive.google.com/uc?id=1RcenUgdXXOG5jyzQghL683jv8RGTEezB</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</si>
  <si>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keep making the same math mistake over and over?' Panel 1: Beagle reviewing a graded practice test, circling a wrong answer. Expression: frustrated but curious. Text: 'You got it wrong again.' Panel 2: Close-up of Beagle squinting at the circled problem. Text: 'Same type. Same mistake.' Panel 3: Medium shot, Beagle flopping back in the chair, staring at the ceiling. Text: 'It feels like your brain just will not cooperate.' Panel 4: Beagle sitting up, paw raised gently. Text: 'But this is actually a clue.' Panel 5: Side profile of Beagle writing in a notebook labeled 'My mistake patterns.' Text: 'Every repeated mistake is a habit, not a gap in intelligence.' Panel 6: Over-the-shoulder shot of Beagle crossing out old work and rewriting a problem step-by-step slowly. Text: 'Habits only break when you slow down and do it the right way enough times.' Panel 7: Beagle holding up the notebook, smiling, one ear flopped. Text: 'Name your mistake. Write it down. Then practice the fix — not the problem.' Final panel (aha moment): Beagle looking warmly at viewer, pencil tucked behind ear. Text: 'You are not bad at math. You are practicing the wrong version of it.'
Reference the provided style image to maintain visual consistency in palette, illustration style, and layout.</t>
  </si>
  <si>
    <t>be_1004</t>
  </si>
  <si>
    <t>Title panel: 'Why does test day feel so different from practice?' Panel 1: Beagle seated at a familiar desk at home, relaxed, scoring well on a practice test. Expression: comfortable. Text: 'Practice feels fine.' Panel 2: Medium shot of Beagle at an unfamiliar desk in a big room, shoulders tense, eyes darting. Text: 'Test day feels like a different planet.' Panel 3: Close-up of Beagle's paws gripping a pencil too tightly. Text: 'Same brain. Same knowledge. Completely different performance.' Panel 4: Beagle tilting head slowly, a small thought bubble with gears turning. Text: 'Why?' Panel 5: Side angle of Beagle at a whiteboard. Two words written: 'Familiar' and 'Stress.' An arrow from Stress points down. Text: 'Stress narrows your focus. A new environment triggers stress. Scores drop.' Panel 6: Beagle sitting cross-legged on the floor near a desk lamp, eyes closed, calm. Text: 'The fix is making test conditions feel familiar before the real day.' Panel 7: Beagle at a kitchen table, timer set, wearing a slightly too-serious expression, practicing under real conditions. Text: 'Timed. Quiet. No phone. Same pencil. Same snack. Same everything.' Final panel (aha moment): Beagle looking at viewer with a calm, steady expression. Text: 'Your brain performs best when nothing feels like a surprise.'</t>
  </si>
  <si>
    <t>Home desk vs test room contrast is immediately visual, simulation strategy is genuinely actionable and undersold in most SAT content</t>
  </si>
  <si>
    <t>2026-07-17T13:03:46.341-07:00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</si>
  <si>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test day feel so different from practice?' Panel 1: Beagle seated at a familiar desk at home, relaxed, scoring well on a practice test. Expression: comfortable. Text: 'Practice feels fine.' Panel 2: Medium shot of Beagle at an unfamiliar desk in a big room, shoulders tense, eyes darting. Text: 'Test day feels like a different planet.' Panel 3: Close-up of Beagle's paws gripping a pencil too tightly. Text: 'Same brain. Same knowledge. Completely different performance.' Panel 4: Beagle tilting head slowly, a small thought bubble with gears turning. Text: 'Why?' Panel 5: Side angle of Beagle at a whiteboard. Two words written: 'Familiar' and 'Stress.' An arrow from Stress points down. Text: 'Stress narrows your focus. A new environment triggers stress. Scores drop.' Panel 6: Beagle sitting cross-legged on the floor near a desk lamp, eyes closed, calm. Text: 'The fix is making test conditions feel familiar before the real day.' Panel 7: Beagle at a kitchen table, timer set, wearing a slightly too-serious expression, practicing under real conditions. Text: 'Timed. Quiet. No phone. Same pencil. Same snack. Same everything.' Final panel (aha moment): Beagle looking at viewer with a calm, steady expression. Text: 'Your brain performs best when nothing feels like a surprise.'\n\nReference the provided style image to maintain visual consistency in palette, illustration style, and layout.","input_urls":["https://tempfile.redpandaai.co/kieai/11402406/athena-refs/style_ref.jpg"],"aspect_ratio":"4:5"}}</t>
  </si>
  <si>
    <t>cd2f61c71276b295b9281f5dcb1005a1</t>
  </si>
  <si>
    <t>https://tempfile.aiquickdraw.com/images/chatgpt/file_00000000d2c4822fb4b6bfd205ab040a.png</t>
  </si>
  <si>
    <t>1CMGiy-g6BEw9eJuSmQM53dMb3u7HPYpw</t>
  </si>
  <si>
    <t>https://drive.google.com/uc?id=1CMGiy-g6BEw9eJuSmQM53dMb3u7HPYpw</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</si>
  <si>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test day feel so different from practice?' Panel 1: Beagle seated at a familiar desk at home, relaxed, scoring well on a practice test. Expression: comfortable. Text: 'Practice feels fine.' Panel 2: Medium shot of Beagle at an unfamiliar desk in a big room, shoulders tense, eyes darting. Text: 'Test day feels like a different planet.' Panel 3: Close-up of Beagle's paws gripping a pencil too tightly. Text: 'Same brain. Same knowledge. Completely different performance.' Panel 4: Beagle tilting head slowly, a small thought bubble with gears turning. Text: 'Why?' Panel 5: Side angle of Beagle at a whiteboard. Two words written: 'Familiar' and 'Stress.' An arrow from Stress points down. Text: 'Stress narrows your focus. A new environment triggers stress. Scores drop.' Panel 6: Beagle sitting cross-legged on the floor near a desk lamp, eyes closed, calm. Text: 'The fix is making test conditions feel familiar before the real day.' Panel 7: Beagle at a kitchen table, timer set, wearing a slightly too-serious expression, practicing under real conditions. Text: 'Timed. Quiet. No phone. Same pencil. Same snack. Same everything.' Final panel (aha moment): Beagle looking at viewer with a calm, steady expression. Text: 'Your brain performs best when nothing feels like a surprise.'
Reference the provided style image to maintain visual consistency in palette, illustration style, and layout.</t>
  </si>
  <si>
    <t>be_1005</t>
  </si>
  <si>
    <t>Title panel: 'Why does eliminating wrong answers actually work?' Panel 1: Beagle staring at four answer choices, expression overwhelmed. Text: 'Four answers. One is right. Three are traps.' Panel 2: Close-up of Beagle looking at the answer choices, chewing the pencil eraser. Text: 'And you have absolutely no idea which one.' Panel 3: Medium shot, Beagle's paw hovering between two choices. Text: 'So you guess. And you are probably wrong.' Panel 4: Beagle leaning in close to the paper, expression shifting to calm focus. Text: 'Try this instead: stop looking for the right answer first.' Panel 5: Side profile of Beagle crossing out two answer choices with confident pencil strokes. Text: 'Find the ones that are clearly wrong. Cross them out.' Panel 6: Over-the-shoulder shot of Beagle now looking at only two remaining choices, posture relaxed. Text: 'Now your odds just went from 25% to 50%.' Panel 7: Beagle circling a final answer confidently, small smile on face. Text: 'Elimination is not guessing. It is logic working backwards.' Final panel (aha moment): Beagle looking at viewer, one paw up like a gentle teacher. Text: 'The right answer is easier to find once the wrong ones are gone.'</t>
  </si>
  <si>
    <t>Process of elimination is familiar territory but the backwards logic framing and visual of crossing out choices gives it enough freshness to justify</t>
  </si>
  <si>
    <t>2026-07-17T13:03:46.346-07:00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</si>
  <si>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eliminating wrong answers actually work?' Panel 1: Beagle staring at four answer choices, expression overwhelmed. Text: 'Four answers. One is right. Three are traps.' Panel 2: Close-up of Beagle looking at the answer choices, chewing the pencil eraser. Text: 'And you have absolutely no idea which one.' Panel 3: Medium shot, Beagle's paw hovering between two choices. Text: 'So you guess. And you are probably wrong.' Panel 4: Beagle leaning in close to the paper, expression shifting to calm focus. Text: 'Try this instead: stop looking for the right answer first.' Panel 5: Side profile of Beagle crossing out two answer choices with confident pencil strokes. Text: 'Find the ones that are clearly wrong. Cross them out.' Panel 6: Over-the-shoulder shot of Beagle now looking at only two remaining choices, posture relaxed. Text: 'Now your odds just went from 25% to 50%.' Panel 7: Beagle circling a final answer confidently, small smile on face. Text: 'Elimination is not guessing. It is logic working backwards.' Final panel (aha moment): Beagle looking at viewer, one paw up like a gentle teacher. Text: 'The right answer is easier to find once the wrong ones are gone.'\n\nReference the provided style image to maintain visual consistency in palette, illustration style, and layout.","input_urls":["https://tempfile.redpandaai.co/kieai/11402406/athena-refs/style_ref.jpg"],"aspect_ratio":"4:5"}}</t>
  </si>
  <si>
    <t>1c41863d201241786213c294667df23d</t>
  </si>
  <si>
    <t>https://tempfile.aiquickdraw.com/images/chatgpt/file_000000007af081f79abe78d2a9d30c52.png</t>
  </si>
  <si>
    <t>1NkTiICUIozsy0k38fJMOaxHU8FLF4xs3</t>
  </si>
  <si>
    <t>https://drive.google.com/uc?id=1NkTiICUIozsy0k38fJMOaxHU8FLF4xs3</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</si>
  <si>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eliminating wrong answers actually work?' Panel 1: Beagle staring at four answer choices, expression overwhelmed. Text: 'Four answers. One is right. Three are traps.' Panel 2: Close-up of Beagle looking at the answer choices, chewing the pencil eraser. Text: 'And you have absolutely no idea which one.' Panel 3: Medium shot, Beagle's paw hovering between two choices. Text: 'So you guess. And you are probably wrong.' Panel 4: Beagle leaning in close to the paper, expression shifting to calm focus. Text: 'Try this instead: stop looking for the right answer first.' Panel 5: Side profile of Beagle crossing out two answer choices with confident pencil strokes. Text: 'Find the ones that are clearly wrong. Cross them out.' Panel 6: Over-the-shoulder shot of Beagle now looking at only two remaining choices, posture relaxed. Text: 'Now your odds just went from 25% to 50%.' Panel 7: Beagle circling a final answer confidently, small smile on face. Text: 'Elimination is not guessing. It is logic working backwards.' Final panel (aha moment): Beagle looking at viewer, one paw up like a gentle teacher. Text: 'The right answer is easier to find once the wrong ones are gone.'
Reference the provided style image to maintain visual consistency in palette, illustration style, and layout.</t>
  </si>
  <si>
    <t>be_1006</t>
  </si>
  <si>
    <t>Title panel: 'Why is the SAT testing things your teacher never taught?' Panel 1: Beagle holding a thick textbook in both paws, studying hard. Expression: dedicated. Text: 'You studied everything in class.' Panel 2: Close-up of Beagle's face reading an SAT question, confusion creeping in. Text: 'And this question feels like it came from nowhere.' Panel 3: Medium shot of Beagle setting the book down slowly, staring into the distance. Text: 'Was it your teacher? Was it you? What happened?' Panel 4: Beagle sitting up straight, one ear perked, expression clearing. Text: 'Neither. The SAT is not a school test.' Panel 5: Side angle of Beagle at a whiteboard. Two columns: 'School test' and 'SAT.' School test: 'memorize facts.' SAT: 'apply reasoning.' Text: 'It does not ask what you know. It asks how you think.' Panel 6: Beagle reading a short passage, underlining one sentence, circling a key word. Text: 'Every answer on the SAT lives somewhere in the passage or problem itself.' Panel 7: Beagle leaning back in chair, expression calm and confident. Text: 'You do not need to memorize more. You need to practice using what is there.' Final panel (aha moment): Beagle looking directly at the viewer, warm and steady. Text: 'The SAT is an open-book test. The book is just the question itself.'</t>
  </si>
  <si>
    <t>School test vs SAT reasoning column comparison is clean and visual, open-book reframe is a genuine insight that parents and students misunderstand</t>
  </si>
  <si>
    <t>2026-07-17T13:03:46.348-07:00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</si>
  <si>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the SAT testing things your teacher never taught?' Panel 1: Beagle holding a thick textbook in both paws, studying hard. Expression: dedicated. Text: 'You studied everything in class.' Panel 2: Close-up of Beagle's face reading an SAT question, confusion creeping in. Text: 'And this question feels like it came from nowhere.' Panel 3: Medium shot of Beagle setting the book down slowly, staring into the distance. Text: 'Was it your teacher? Was it you? What happened?' Panel 4: Beagle sitting up straight, one ear perked, expression clearing. Text: 'Neither. The SAT is not a school test.' Panel 5: Side angle of Beagle at a whiteboard. Two columns: 'School test' and 'SAT.' School test: 'memorize facts.' SAT: 'apply reasoning.' Text: 'It does not ask what you know. It asks how you think.' Panel 6: Beagle reading a short passage, underlining one sentence, circling a key word. Text: 'Every answer on the SAT lives somewhere in the passage or problem itself.' Panel 7: Beagle leaning back in chair, expression calm and confident. Text: 'You do not need to memorize more. You need to practice using what is there.' Final panel (aha moment): Beagle looking directly at the viewer, warm and steady. Text: 'The SAT is an open-book test. The book is just the question itself.'\n\nReference the provided style image to maintain visual consistency in palette, illustration style, and layout.","input_urls":["https://tempfile.redpandaai.co/kieai/11402406/athena-refs/style_ref.jpg"],"aspect_ratio":"4:5"}}</t>
  </si>
  <si>
    <t>15a386c202dcd1f025ce6612e403c748</t>
  </si>
  <si>
    <t>https://tempfile.aiquickdraw.com/images/chatgpt/file_00000000c2d081f6be484db3509c5e2b.png</t>
  </si>
  <si>
    <t>1WBFcOI4E9unDmTCCfst5o-rnVYzb7F_Q</t>
  </si>
  <si>
    <t>https://drive.google.com/uc?id=1WBFcOI4E9unDmTCCfst5o-rnVYzb7F_Q</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</si>
  <si>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the SAT testing things your teacher never taught?' Panel 1: Beagle holding a thick textbook in both paws, studying hard. Expression: dedicated. Text: 'You studied everything in class.' Panel 2: Close-up of Beagle's face reading an SAT question, confusion creeping in. Text: 'And this question feels like it came from nowhere.' Panel 3: Medium shot of Beagle setting the book down slowly, staring into the distance. Text: 'Was it your teacher? Was it you? What happened?' Panel 4: Beagle sitting up straight, one ear perked, expression clearing. Text: 'Neither. The SAT is not a school test.' Panel 5: Side angle of Beagle at a whiteboard. Two columns: 'School test' and 'SAT.' School test: 'memorize facts.' SAT: 'apply reasoning.' Text: 'It does not ask what you know. It asks how you think.' Panel 6: Beagle reading a short passage, underlining one sentence, circling a key word. Text: 'Every answer on the SAT lives somewhere in the passage or problem itself.' Panel 7: Beagle leaning back in chair, expression calm and confident. Text: 'You do not need to memorize more. You need to practice using what is there.' Final panel (aha moment): Beagle looking directly at the viewer, warm and steady. Text: 'The SAT is an open-book test. The book is just the question itself.'
Reference the provided style image to maintain visual consistency in palette, illustration style, and layout.</t>
  </si>
  <si>
    <t>be_1007</t>
  </si>
  <si>
    <t>Title panel: 'Why does your brain go blank right when it matters most?' Panel 1: Beagle sitting at a desk at home, reciting vocabulary words perfectly from a flashcard. Expression: confident. Text: 'You knew it yesterday.' Panel 2: Close-up of Beagle frozen mid-test, staring at the same word on the page, eyes wide. Text: 'And now it is just... gone.' Panel 3: Medium shot, Beagle tapping paw on head, expression desperate. Text: 'The harder you try to remember, the further away it gets.' Panel 4: Beagle exhaling slowly, eyes half closed. Text: 'This is called retrieval failure. And it is extremely normal.' Panel 5: Side profile of Beagle at a whiteboard drawing a simple brain sketch with an arrow labeled 'stress blocks access.' Text: 'Stress releases cortisol. Cortisol disrupts memory retrieval. Your knowledge is still there.' Panel 6: Beagle taking three slow breaths, paw on chest, expression settling. Text: 'The fastest way back in: breathe. Skip the question. Come back.' Panel 7: Beagle returning to the skipped question, pencil poised, expression calm and focused. Text: 'A calm brain remembers. A panicked brain cannot.' Final panel (aha moment): Beagle looking at the viewer with a soft, reassuring expression. Text: 'Blanking is not forgetting. It is a traffic jam. Give it a minute.'</t>
  </si>
  <si>
    <t>Blank brain moment is universally relatable, cortisol explanation feels like a real teacher talking not a listicle, skip and return is concrete advice</t>
  </si>
  <si>
    <t>2026-07-17T13:03:46.350-07:00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</si>
  <si>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brain go blank right when it matters most?' Panel 1: Beagle sitting at a desk at home, reciting vocabulary words perfectly from a flashcard. Expression: confident. Text: 'You knew it yesterday.' Panel 2: Close-up of Beagle frozen mid-test, staring at the same word on the page, eyes wide. Text: 'And now it is just... gone.' Panel 3: Medium shot, Beagle tapping paw on head, expression desperate. Text: 'The harder you try to remember, the further away it gets.' Panel 4: Beagle exhaling slowly, eyes half closed. Text: 'This is called retrieval failure. And it is extremely normal.' Panel 5: Side profile of Beagle at a whiteboard drawing a simple brain sketch with an arrow labeled 'stress blocks access.' Text: 'Stress releases cortisol. Cortisol disrupts memory retrieval. Your knowledge is still there.' Panel 6: Beagle taking three slow breaths, paw on chest, expression settling. Text: 'The fastest way back in: breathe. Skip the question. Come back.' Panel 7: Beagle returning to the skipped question, pencil poised, expression calm and focused. Text: 'A calm brain remembers. A panicked brain cannot.' Final panel (aha moment): Beagle looking at the viewer with a soft, reassuring expression. Text: 'Blanking is not forgetting. It is a traffic jam. Give it a minute.'\n\nReference the provided style image to maintain visual consistency in palette, illustration style, and layout.","input_urls":["https://tempfile.redpandaai.co/kieai/11402406/athena-refs/style_ref.jpg"],"aspect_ratio":"4:5"}}</t>
  </si>
  <si>
    <t>8d8664ddfb753f5a1799a8d5570abe78</t>
  </si>
  <si>
    <t>https://tempfile.aiquickdraw.com/images/chatgpt/file_000000007a1c81f7b28eaa441f910460.png</t>
  </si>
  <si>
    <t>1SMsbS_LD729RPrwMwN4Lb_Ua3JqsAmoS</t>
  </si>
  <si>
    <t>https://drive.google.com/uc?id=1SMsbS_LD729RPrwMwN4Lb_Ua3JqsAmoS</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</si>
  <si>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brain go blank right when it matters most?' Panel 1: Beagle sitting at a desk at home, reciting vocabulary words perfectly from a flashcard. Expression: confident. Text: 'You knew it yesterday.' Panel 2: Close-up of Beagle frozen mid-test, staring at the same word on the page, eyes wide. Text: 'And now it is just... gone.' Panel 3: Medium shot, Beagle tapping paw on head, expression desperate. Text: 'The harder you try to remember, the further away it gets.' Panel 4: Beagle exhaling slowly, eyes half closed. Text: 'This is called retrieval failure. And it is extremely normal.' Panel 5: Side profile of Beagle at a whiteboard drawing a simple brain sketch with an arrow labeled 'stress blocks access.' Text: 'Stress releases cortisol. Cortisol disrupts memory retrieval. Your knowledge is still there.' Panel 6: Beagle taking three slow breaths, paw on chest, expression settling. Text: 'The fastest way back in: breathe. Skip the question. Come back.' Panel 7: Beagle returning to the skipped question, pencil poised, expression calm and focused. Text: 'A calm brain remembers. A panicked brain cannot.' Final panel (aha moment): Beagle looking at the viewer with a soft, reassuring expression. Text: 'Blanking is not forgetting. It is a traffic jam. Give it a minute.'
Reference the provided style image to maintain visual consistency in palette, illustration style, and layout.</t>
  </si>
  <si>
    <t>be_1008</t>
  </si>
  <si>
    <t>Title panel: 'Why do you score higher when you stop trying to be perfect?' Panel 1: Beagle agonizing over a single question, erasing and rewriting the same answer three times. Expression: tortured. Text: 'You want to get every single one right.' Panel 2: Close-up of Beagle glancing at the timer — almost no time left. Eyes wide. Text: 'But now you are out of time.' Panel 3: Medium shot of Beagle frantically bubbling in random answers, expression crumbling. Text: 'And the last ten questions are all guesses.' Panel 4: Beagle setting the pencil down, taking a slow breath, thinking. Text: 'What if perfection is the problem?' Panel 5: Side angle of Beagle at a whiteboard. Two strategies drawn: 'Perfect 20 questions' vs. 'Good enough on 40 questions.' Scores shown: lower vs. higher. Text: 'A 90% answer in 60 seconds beats a 100% answer in 3 minutes.' Panel 6: Beagle circling an answer confidently and immediately moving on, posture relaxed. Text: 'Trust your first instinct. Flag if unsure. Keep moving.' Panel 7: Beagle leaning back in chair, small satisfied smile. Text: 'The goal is not perfection. The goal is the best score you can earn in the time you have.' Final panel (aha moment): Beagle looking directly at the viewer, expression steady and kind. Text: 'Done is almost always better than perfect on a timed test.'</t>
  </si>
  <si>
    <t>Perfectionism trap is a real and underserved insight for high-achieving students, whiteboard score comparison is visually concrete and compelling for parents</t>
  </si>
  <si>
    <t>2026-07-17T13:03:46.353-07:00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</si>
  <si>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score higher when you stop trying to be perfect?' Panel 1: Beagle agonizing over a single question, erasing and rewriting the same answer three times. Expression: tortured. Text: 'You want to get every single one right.' Panel 2: Close-up of Beagle glancing at the timer — almost no time left. Eyes wide. Text: 'But now you are out of time.' Panel 3: Medium shot of Beagle frantically bubbling in random answers, expression crumbling. Text: 'And the last ten questions are all guesses.' Panel 4: Beagle setting the pencil down, taking a slow breath, thinking. Text: 'What if perfection is the problem?' Panel 5: Side angle of Beagle at a whiteboard. Two strategies drawn: 'Perfect 20 questions' vs. 'Good enough on 40 questions.' Scores shown: lower vs. higher. Text: 'A 90% answer in 60 seconds beats a 100% answer in 3 minutes.' Panel 6: Beagle circling an answer confidently and immediately moving on, posture relaxed. Text: 'Trust your first instinct. Flag if unsure. Keep moving.' Panel 7: Beagle leaning back in chair, small satisfied smile. Text: 'The goal is not perfection. The goal is the best score you can earn in the time you have.' Final panel (aha moment): Beagle looking directly at the viewer, expression steady and kind. Text: 'Done is almost always better than perfect on a timed test.'\n\nReference the provided style image to maintain visual consistency in palette, illustration style, and layout.","input_urls":["https://tempfile.redpandaai.co/kieai/11402406/athena-refs/style_ref.jpg"],"aspect_ratio":"4:5"}}</t>
  </si>
  <si>
    <t>db3324f25e8fc737dcbeb758a9079322</t>
  </si>
  <si>
    <t>https://tempfile.aiquickdraw.com/images/chatgpt/file_00000000ad1081f584d9c6334814c8f7.png</t>
  </si>
  <si>
    <t>1JUlybPXawkvqzyfem5Cw2AlLgSQFB-Oe</t>
  </si>
  <si>
    <t>https://drive.google.com/uc?id=1JUlybPXawkvqzyfem5Cw2AlLgSQFB-Oe</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</si>
  <si>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score higher when you stop trying to be perfect?' Panel 1: Beagle agonizing over a single question, erasing and rewriting the same answer three times. Expression: tortured. Text: 'You want to get every single one right.' Panel 2: Close-up of Beagle glancing at the timer — almost no time left. Eyes wide. Text: 'But now you are out of time.' Panel 3: Medium shot of Beagle frantically bubbling in random answers, expression crumbling. Text: 'And the last ten questions are all guesses.' Panel 4: Beagle setting the pencil down, taking a slow breath, thinking. Text: 'What if perfection is the problem?' Panel 5: Side angle of Beagle at a whiteboard. Two strategies drawn: 'Perfect 20 questions' vs. 'Good enough on 40 questions.' Scores shown: lower vs. higher. Text: 'A 90% answer in 60 seconds beats a 100% answer in 3 minutes.' Panel 6: Beagle circling an answer confidently and immediately moving on, posture relaxed. Text: 'Trust your first instinct. Flag if unsure. Keep moving.' Panel 7: Beagle leaning back in chair, small satisfied smile. Text: 'The goal is not perfection. The goal is the best score you can earn in the time you have.' Final panel (aha moment): Beagle looking directly at the viewer, expression steady and kind. Text: 'Done is almost always better than perfect on a timed test.'
Reference the provided style image to maintain visual consistency in palette, illustration style, and layout.</t>
  </si>
  <si>
    <t>be_1009</t>
  </si>
  <si>
    <t>Title panel: 'Why does reading more NOT automatically raise your SAT score?' Panel 1: Beagle surrounded by a towering stack of books, reading furiously. Expression: determined. Text: 'Someone told you to read more.' Panel 2: Close-up of Beagle's face, weeks later, still staring at an SAT reading question with the same confusion. Text: 'So you read. A lot.' Panel 3: Medium shot of Beagle comparing two practice test scores — nearly identical. Expression: deflated. Text: 'And your score barely moved.' Panel 4: Beagle setting a book down gently, tilting head, thinking with paw on chin. Text: 'Reading for pleasure and reading for the SAT are two different skills.' Panel 5: Side profile of Beagle at a whiteboard. Left side: 'Pleasure reading' — follow the story. Right side: 'SAT reading' — find the author's argument, locate evidence, identify tone. Text: 'The SAT asks you to analyze, not absorb.' Panel 6: Beagle reading a short passage with a pencil in hand, underlining a claim, bracketing evidence. Text: 'Active reading means marking as you go. Purpose. Evidence. Tone. Every paragraph.' Panel 7: Beagle holding up a marked-up passage, looking satisfied. Text: 'Five SAT passages practiced with full focus beats fifty chapters read passively.' Final panel (aha moment): Beagle looking warmly at the viewer, pencil held up. Text: 'It is not about how much you read. It is about how you read.'</t>
  </si>
  <si>
    <t>Challenges a common parent assumption directly which is high resonance, active vs passive reading contrast is visually distinct and the pencil-in-hand image is strong</t>
  </si>
  <si>
    <t>2026-07-17T13:03:46.356-07:00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</si>
  <si>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reading more NOT automatically raise your SAT score?' Panel 1: Beagle surrounded by a towering stack of books, reading furiously. Expression: determined. Text: 'Someone told you to read more.' Panel 2: Close-up of Beagle's face, weeks later, still staring at an SAT reading question with the same confusion. Text: 'So you read. A lot.' Panel 3: Medium shot of Beagle comparing two practice test scores — nearly identical. Expression: deflated. Text: 'And your score barely moved.' Panel 4: Beagle setting a book down gently, tilting head, thinking with paw on chin. Text: 'Reading for pleasure and reading for the SAT are two different skills.' Panel 5: Side profile of Beagle at a whiteboard. Left side: 'Pleasure reading' — follow the story. Right side: 'SAT reading' — find the author's argument, locate evidence, identify tone. Text: 'The SAT asks you to analyze, not absorb.' Panel 6: Beagle reading a short passage with a pencil in hand, underlining a claim, bracketing evidence. Text: 'Active reading means marking as you go. Purpose. Evidence. Tone. Every paragraph.' Panel 7: Beagle holding up a marked-up passage, looking satisfied. Text: 'Five SAT passages practiced with full focus beats fifty chapters read passively.' Final panel (aha moment): Beagle looking warmly at the viewer, pencil held up. Text: 'It is not about how much you read. It is about how you read.'\n\nReference the provided style image to maintain visual consistency in palette, illustration style, and layout.","input_urls":["https://tempfile.redpandaai.co/kieai/11402406/athena-refs/style_ref.jpg"],"aspect_ratio":"4:5"}}</t>
  </si>
  <si>
    <t>6256e3d7179fe0a1876936e5a01cbfdd</t>
  </si>
  <si>
    <t>https://tempfile.aiquickdraw.com/images/chatgpt/file_0000000073f481f5b8556b51a7b00704.png</t>
  </si>
  <si>
    <t>1Rd2OVDEQa-E5XMDWpcftX_yFthbOJVsb</t>
  </si>
  <si>
    <t>https://drive.google.com/uc?id=1Rd2OVDEQa-E5XMDWpcftX_yFthbOJVsb</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</si>
  <si>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reading more NOT automatically raise your SAT score?' Panel 1: Beagle surrounded by a towering stack of books, reading furiously. Expression: determined. Text: 'Someone told you to read more.' Panel 2: Close-up of Beagle's face, weeks later, still staring at an SAT reading question with the same confusion. Text: 'So you read. A lot.' Panel 3: Medium shot of Beagle comparing two practice test scores — nearly identical. Expression: deflated. Text: 'And your score barely moved.' Panel 4: Beagle setting a book down gently, tilting head, thinking with paw on chin. Text: 'Reading for pleasure and reading for the SAT are two different skills.' Panel 5: Side profile of Beagle at a whiteboard. Left side: 'Pleasure reading' — follow the story. Right side: 'SAT reading' — find the author's argument, locate evidence, identify tone. Text: 'The SAT asks you to analyze, not absorb.' Panel 6: Beagle reading a short passage with a pencil in hand, underlining a claim, bracketing evidence. Text: 'Active reading means marking as you go. Purpose. Evidence. Tone. Every paragraph.' Panel 7: Beagle holding up a marked-up passage, looking satisfied. Text: 'Five SAT passages practiced with full focus beats fifty chapters read passively.' Final panel (aha moment): Beagle looking warmly at the viewer, pencil held up. Text: 'It is not about how much you read. It is about how you read.'
Reference the provided style image to maintain visual consistency in palette, illustration style, and layout.</t>
  </si>
  <si>
    <t>be_1010</t>
  </si>
  <si>
    <t>Title panel: 'Why does the night before the SAT matter more than you think?' Panel 1: Beagle at a desk very late at night, surrounded by flashcards and open notebooks, eyes drooping. Expression: exhausted but pushing through. Text: 'One more practice set. Just one more.' Panel 2: Close-up of Beagle's heavy eyelids. The clock on the wall reads 1:47 AM. Text: 'It feels productive.' Panel 3: Medium shot of Beagle the next morning, dragging paws, staring blankly at a test booklet. Expression: foggy. Text: 'But your brain is not there.' Panel 4: Beagle sitting still, looking at viewer with a gentle but serious expression. Text: 'Here is what actually happens when you sleep.' Panel 5: Side profile of Beagle at a whiteboard with a simple sketch: brain with arrows cycling labeled 'process, store, consolidate.' Text: 'Sleep is when your brain files everything you studied. No sleep means no filing.' Panel 6: Beagle closing a notebook, turning off the desk lamp, walking toward a cozy bed. Expression: calm and deliberate. Text: 'The night before the SAT: no new material. Light review only. In bed by 10.' Panel 7: Beagle waking up in the morning, stretching, ears perked, eyes bright. Expression: genuinely ready. Text: 'A rested brain retrieves faster, thinks clearer, and panics less.' Final panel (aha moment): Beagle looking at the viewer with a warm, knowing expression. Text: 'The best thing you can study the night before is nothing at all.'</t>
  </si>
  <si>
    <t>Night before cram is a universal behavior, sleep filing metaphor is simple and visual, closing the notebook and walking to bed is a genuinely warm final image</t>
  </si>
  <si>
    <t>2026-07-17T13:03:46.358-07:00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</si>
  <si>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night before the SAT matter more than you think?' Panel 1: Beagle at a desk very late at night, surrounded by flashcards and open notebooks, eyes drooping. Expression: exhausted but pushing through. Text: 'One more practice set. Just one more.' Panel 2: Close-up of Beagle's heavy eyelids. The clock on the wall reads 1:47 AM. Text: 'It feels productive.' Panel 3: Medium shot of Beagle the next morning, dragging paws, staring blankly at a test booklet. Expression: foggy. Text: 'But your brain is not there.' Panel 4: Beagle sitting still, looking at viewer with a gentle but serious expression. Text: 'Here is what actually happens when you sleep.' Panel 5: Side profile of Beagle at a whiteboard with a simple sketch: brain with arrows cycling labeled 'process, store, consolidate.' Text: 'Sleep is when your brain files everything you studied. No sleep means no filing.' Panel 6: Beagle closing a notebook, turning off the desk lamp, walking toward a cozy bed. Expression: calm and deliberate. Text: 'The night before the SAT: no new material. Light review only. In bed by 10.' Panel 7: Beagle waking up in the morning, stretching, ears perked, eyes bright. Expression: genuinely ready. Text: 'A rested brain retrieves faster, thinks clearer, and panics less.' Final panel (aha moment): Beagle looking at the viewer with a warm, knowing expression. Text: 'The best thing you can study the night before is nothing at all.'\n\nReference the provided style image to maintain visual consistency in palette, illustration style, and layout.","input_urls":["https://tempfile.redpandaai.co/kieai/11402406/athena-refs/style_ref.jpg"],"aspect_ratio":"4:5"}}</t>
  </si>
  <si>
    <t>bece47546c099d6fe254a81db101f7f9</t>
  </si>
  <si>
    <t>https://tempfile.aiquickdraw.com/images/chatgpt/file_0000000088fc81f6be0d6712846e6ca0.png</t>
  </si>
  <si>
    <t>1pQWnx_IhVfJ0PgvGtWbXJcsJXJv-Sbdu</t>
  </si>
  <si>
    <t>https://drive.google.com/uc?id=1pQWnx_IhVfJ0PgvGtWbXJcsJXJv-Sbdu</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</si>
  <si>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night before the SAT matter more than you think?' Panel 1: Beagle at a desk very late at night, surrounded by flashcards and open notebooks, eyes drooping. Expression: exhausted but pushing through. Text: 'One more practice set. Just one more.' Panel 2: Close-up of Beagle's heavy eyelids. The clock on the wall reads 1:47 AM. Text: 'It feels productive.' Panel 3: Medium shot of Beagle the next morning, dragging paws, staring blankly at a test booklet. Expression: foggy. Text: 'But your brain is not there.' Panel 4: Beagle sitting still, looking at viewer with a gentle but serious expression. Text: 'Here is what actually happens when you sleep.' Panel 5: Side profile of Beagle at a whiteboard with a simple sketch: brain with arrows cycling labeled 'process, store, consolidate.' Text: 'Sleep is when your brain files everything you studied. No sleep means no filing.' Panel 6: Beagle closing a notebook, turning off the desk lamp, walking toward a cozy bed. Expression: calm and deliberate. Text: 'The night before the SAT: no new material. Light review only. In bed by 10.' Panel 7: Beagle waking up in the morning, stretching, ears perked, eyes bright. Expression: genuinely ready. Text: 'A rested brain retrieves faster, thinks clearer, and panics less.' Final panel (aha moment): Beagle looking at the viewer with a warm, knowing expression. Text: 'The best thing you can study the night before is nothing at all.'
Reference the provided style image to maintain visual consistency in palette, illustration style, and layout.</t>
  </si>
  <si>
    <t>notes_app_1784318914705_0</t>
  </si>
  <si>
    <t>Dear parents,
Your kid isn't lazy.
They sat down to study.
Opened the practice test.
Read the first question.
And didn't know where to start.
So they closed the tab.
You saw them on their phone
and assumed the worst.
They were avoiding the feeling
of not knowing what they don't know.
That's not laziness.
That's what being lost feels like.
— Athena</t>
  </si>
  <si>
    <t>Visually clean notes-app format, emotionally resonant for parents, reframes a common frustration without being preachy, and positions Athena as empathetic and insightful rather than salesy.</t>
  </si>
  <si>
    <t>2026-07-17T13:08:41.503-07:00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</si>
  <si>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parents,\n\nYour kid isn't lazy.\n\nThey sat down to study.\nOpened the practice test.\nRead the first question.\n\nAnd didn't know where to start.\n\nSo they closed the tab.\n\nYou saw them on their phone\nand assumed the worst.\n\nThey were avoiding the feeling\nof not knowing what they don't know.\n\nThat's not laziness.\n\nThat's what being lost feels like.\n\n— Athena\n\nReference the provided style image to maintain visual consistency in palette, illustration style, and layout.","input_urls":["https://tempfile.redpandaai.co/kieai/11402406/athena-refs/style_ref.jpg"],"aspect_ratio":"4:5"}}</t>
  </si>
  <si>
    <t>42eb9c70a25c43e5f44cc26847f0b87b</t>
  </si>
  <si>
    <t>https://tempfile.aiquickdraw.com/images/chatgpt/file_00000000199481f589846b7c44332a2d.png</t>
  </si>
  <si>
    <t>1hBNktJcx9KHkAIxQWe6NCivhn6gJ4UKw</t>
  </si>
  <si>
    <t>https://drive.google.com/uc?id=1hBNktJcx9KHkAIxQWe6NCivhn6gJ4UKw</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</si>
  <si>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Your kid isn't lazy.
They sat down to study.
Opened the practice test.
Read the first question.
And didn't know where to start.
So they closed the tab.
You saw them on their phone
and assumed the worst.
They were avoiding the feeling
of not knowing what they don't know.
That's not laziness.
That's what being lost feels like.
— Athena
Reference the provided style image to maintain visual consistency in palette, illustration style, and layout.</t>
  </si>
  <si>
    <t>notes_app_1784318914705_1</t>
  </si>
  <si>
    <t>Dear parents,
The tutor costs $150 an hour.
You've paid for six sessions.
Your kid says it's helping.
The score hasn't moved.
So you book more sessions
because stopping feels like giving up.
But somewhere in the back of your mind
you're doing the math.
And the number is getting uncomfortable.
You're not paying for progress.
You're paying to feel like you tried.
There's a difference.
— Athena</t>
  </si>
  <si>
    <t>Sharp and honest — hits a real parental anxiety about wasted money and false progress. Differentiates Athena from traditional tutors without naming them. Slightly provocative but earns it with emotional truth.</t>
  </si>
  <si>
    <t>2026-07-17T13:08:41.507-07:00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</si>
  <si>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parents,\n\nThe tutor costs $150 an hour.\n\nYou've paid for six sessions.\n\nYour kid says it's helping.\nThe score hasn't moved.\n\nSo you book more sessions\nbecause stopping feels like giving up.\n\nBut somewhere in the back of your mind\nyou're doing the math.\n\nAnd the number is getting uncomfortable.\n\nYou're not paying for progress.\nYou're paying to feel like you tried.\n\nThere's a difference.\n\n— Athena\n\nReference the provided style image to maintain visual consistency in palette, illustration style, and layout.","input_urls":["https://tempfile.redpandaai.co/kieai/11402406/athena-refs/style_ref.jpg"],"aspect_ratio":"4:5"}}</t>
  </si>
  <si>
    <t>de57b2ddb6fe87458caf04403fa06e46</t>
  </si>
  <si>
    <t>https://tempfile.aiquickdraw.com/images/chatgpt/file_0000000071a081f586840d6de96d03a0.png</t>
  </si>
  <si>
    <t>1a7ugMlHeZdaB9tgePSDTahQwZO3gmAaH</t>
  </si>
  <si>
    <t>https://drive.google.com/uc?id=1a7ugMlHeZdaB9tgePSDTahQwZO3gmAaH</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</si>
  <si>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The tutor costs $150 an hour.
You've paid for six sessions.
Your kid says it's helping.
The score hasn't moved.
So you book more sessions
because stopping feels like giving up.
But somewhere in the back of your mind
you're doing the math.
And the number is getting uncomfortable.
You're not paying for progress.
You're paying to feel like you tried.
There's a difference.
— Athena
Reference the provided style image to maintain visual consistency in palette, illustration style, and layout.</t>
  </si>
  <si>
    <t>notes_app_1784318914705_2</t>
  </si>
  <si>
    <t>Dear parents,
She got the answer wrong.
Not because she didn't study.
Not because she wasn't trying.
Because the question was designed
to make the wrong answer
feel like the right one.
And nobody ever told her that.
The SAT isn't testing what your kid knows.
It's testing whether they can see the trap.
Most kids are studying the wrong thing.
— Athena</t>
  </si>
  <si>
    <t>Reframes the SAT as a game of traps rather than a knowledge test — genuinely fresh angle that validates the student and educates the parent simultaneously. 'See the trap' is a sticky, concrete idea.</t>
  </si>
  <si>
    <t>2026-07-17T13:08:41.510-07:00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</si>
  <si>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parents,\n\nShe got the answer wrong.\n\nNot because she didn't study.\nNot because she wasn't trying.\n\nBecause the question was designed\nto make the wrong answer\nfeel like the right one.\n\nAnd nobody ever told her that.\n\nThe SAT isn't testing what your kid knows.\nIt's testing whether they can see the trap.\n\nMost kids are studying the wrong thing.\n\n— Athena\n\nReference the provided style image to maintain visual consistency in palette, illustration style, and layout.","input_urls":["https://tempfile.redpandaai.co/kieai/11402406/athena-refs/style_ref.jpg"],"aspect_ratio":"4:5"}}</t>
  </si>
  <si>
    <t>900891fbcb9d715d0d703dfa098b40c9</t>
  </si>
  <si>
    <t>https://tempfile.aiquickdraw.com/images/chatgpt/file_0000000071a481f5a061908d3e9cea3b.png</t>
  </si>
  <si>
    <t>1kLCu4JoqWSfjtyhKzVaCfaOd8oXhoUJG</t>
  </si>
  <si>
    <t>https://drive.google.com/uc?id=1kLCu4JoqWSfjtyhKzVaCfaOd8oXhoUJG</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</si>
  <si>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She got the answer wrong.
Not because she didn't study.
Not because she wasn't trying.
Because the question was designed
to make the wrong answer
feel like the right one.
And nobody ever told her that.
The SAT isn't testing what your kid knows.
It's testing whether they can see the trap.
Most kids are studying the wrong thing.
— Athena
Reference the provided style image to maintain visual consistency in palette, illustration style, and layout.</t>
  </si>
  <si>
    <t>notes_app_1784319164458_0</t>
  </si>
  <si>
    <t>Dear parents,
Your kid knows the material.
They explained it to you at dinner.
But on the test, they froze.
That's not a knowledge problem.
That's a confidence problem disguised as one.
And no amount of extra practice problems fixes that.
The score doesn't measure what they know.
It measures what they can access under pressure.
Those are two very different things.
— Athena</t>
  </si>
  <si>
    <t>Emotionally resonant and specific to a real parent pain point. The knowledge-vs-access-under-pressure reframe is fresh and not a cliche. Text-based notes app format is visually renderable. Athena voice feels human and empathetic, not AI-product-y.</t>
  </si>
  <si>
    <t>2026-07-17T13:12:50.388-07:00</t>
  </si>
  <si>
    <t>notes_app_1784319164458_1</t>
  </si>
  <si>
    <t>Dear parents,
The tutor comes on Tuesdays.
Your kid is polite.
They nod at the right moments.
They do the homework.
And the score hasn't moved in four months.
Polite isn't the same as understanding.
Nodding isn't the same as 'I get it.'
Somewhere between the lesson and the test,
something is getting lost.
And nobody in the room is saying it out loud.
— Athena</t>
  </si>
  <si>
    <t>Nails the polite-nodding dynamic that parents will immediately recognize. The 'score hasn't moved in four months' detail is concrete and credible. Notes app format works well. Subtle indictment of traditional tutoring without being preachy, which fits the Athena teacher-not-AI positioning.</t>
  </si>
  <si>
    <t>2026-07-17T13:12:50.392-07:00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</si>
  <si>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parents,\n\nThe tutor comes on Tuesdays.\n\nYour kid is polite.\n\nThey nod at the right moments.\n\nThey do the homework.\n\nAnd the score hasn't moved in four months.\n\nPolite isn't the same as understanding.\n\nNodding isn't the same as 'I get it.'\n\nSomewhere between the lesson and the test,\nsomething is getting lost.\n\nAnd nobody in the room is saying it out loud.\n\n— Athena\n\nReference the provided style image to maintain visual consistency in palette, illustration style, and layout.","input_urls":["https://tempfile.redpandaai.co/kieai/11402406/athena-refs/style_ref.jpg"],"aspect_ratio":"4:5"}}</t>
  </si>
  <si>
    <t>e8edde5a69fee531e785812fcfb3a33c</t>
  </si>
  <si>
    <t>https://tempfile.aiquickdraw.com/images/chatgpt/file_00000000dc5c820c9bcdee0a8c5a6b7c.png</t>
  </si>
  <si>
    <t>1OPZbITCsVvQvO5Nukyv4cyi1kZUd1YrK</t>
  </si>
  <si>
    <t>https://drive.google.com/uc?id=1OPZbITCsVvQvO5Nukyv4cyi1kZUd1YrK</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</si>
  <si>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The tutor comes on Tuesdays.
Your kid is polite.
They nod at the right moments.
They do the homework.
And the score hasn't moved in four months.
Polite isn't the same as understanding.
Nodding isn't the same as 'I get it.'
Somewhere between the lesson and the test,
something is getting lost.
And nobody in the room is saying it out loud.
— Athena
Reference the provided style image to maintain visual consistency in palette, illustration style, and layout.</t>
  </si>
  <si>
    <t>notes_app_1784319499560_0</t>
  </si>
  <si>
    <t>Dear parents,
Your kid isn't lazy.
They just stopped believing the score could change.
That's not a motivation problem — that's a hope problem.
— Athena</t>
  </si>
  <si>
    <t>Emotionally resonant reframe that speaks directly to a real parent pain point without feeling preachy. The 'hope problem' line is fresh and memorable. Signed by Athena as a voice — feels like a caring teacher, not a product pitch.</t>
  </si>
  <si>
    <t>2026-07-17T13:18:23.108-07:00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</si>
  <si>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parents,\n\nYour kid isn't lazy.\nThey just stopped believing the score could change.\n\nThat's not a motivation problem — that's a hope problem.\n\n— Athena\n\nReference the provided style image to maintain visual consistency in palette, illustration style, and layout.","input_urls":["https://tempfile.redpandaai.co/kieai/11402406/athena-refs/style_ref.jpg"],"aspect_ratio":"4:5"}}</t>
  </si>
  <si>
    <t>f1dfcab596c6cf0cf3b40ccfe86a32c4</t>
  </si>
  <si>
    <t>https://tempfile.aiquickdraw.com/images/chatgpt/file_000000008f1081f69357a044f5ae22fe.png</t>
  </si>
  <si>
    <t>15GUbr9ZcqtLSxHs1NxuXsILJC4XoJNFo</t>
  </si>
  <si>
    <t>https://drive.google.com/uc?id=15GUbr9ZcqtLSxHs1NxuXsILJC4XoJNFo</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</si>
  <si>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Your kid isn't lazy.
They just stopped believing the score could change.
That's not a motivation problem — that's a hope problem.
— Athena
Reference the provided style image to maintain visual consistency in palette, illustration style, and layout.</t>
  </si>
  <si>
    <t>notes_app_1784319564383_0</t>
  </si>
  <si>
    <t>Dear parents,
Your kid isn't lazy.
They just don't know where to start.
There's a difference — and it changes everything about how you help them.
— Athena</t>
  </si>
  <si>
    <t>Emotionally resonant reframe that speaks directly to parental guilt and confusion. Fresh angle, aligns with empathetic teacher brand.</t>
  </si>
  <si>
    <t>2026-07-17T13:19:36.895-07:00</t>
  </si>
  <si>
    <t>notes_app_1784319564383_1</t>
  </si>
  <si>
    <t>Dear parents,
The tutor comes twice a week.
The anxiety is there every night.
Paying for sessions isn't the same as solving the problem.
— Athena</t>
  </si>
  <si>
    <t>Sharp contrast that challenges the status quo of traditional tutoring. Hits a real parent pain point without being preachy.</t>
  </si>
  <si>
    <t>2026-07-17T13:19:36.898-07:00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</si>
  <si>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parents,\n\nThe tutor comes twice a week.\nThe anxiety is there every night.\n\nPaying for sessions isn't the same as solving the problem.\n\n— Athena\n\nReference the provided style image to maintain visual consistency in palette, illustration style, and layout.","input_urls":["https://tempfile.redpandaai.co/kieai/11402406/athena-refs/style_ref.jpg"],"aspect_ratio":"4:5"}}</t>
  </si>
  <si>
    <t>da342918752ec3bc247cca6971776329</t>
  </si>
  <si>
    <t>https://tempfile.aiquickdraw.com/images/chatgpt/file_00000000893c820c81caaa214d59471f.png</t>
  </si>
  <si>
    <t>1NRvjxDX2LhO3xNZ0hjI8GO1EZ7zab9e3</t>
  </si>
  <si>
    <t>https://drive.google.com/uc?id=1NRvjxDX2LhO3xNZ0hjI8GO1EZ7zab9e3</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</si>
  <si>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The tutor comes twice a week.
The anxiety is there every night.
Paying for sessions isn't the same as solving the problem.
— Athena
Reference the provided style image to maintain visual consistency in palette, illustration style, and layout.</t>
  </si>
  <si>
    <t>notes_app_1784319564383_2</t>
  </si>
  <si>
    <t>Dear parents,
She got a 1080.
She's capable of a 1350.
The gap between those two scores isn't intelligence — it's preparation.
— Athena</t>
  </si>
  <si>
    <t>Concrete score gap makes it tangible. Reframes the problem as preparation not intelligence — core Athena message done well.</t>
  </si>
  <si>
    <t>2026-07-17T13:19:36.901-07:00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</si>
  <si>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parents,\n\nShe got a 1080.\nShe's capable of a 1350.\n\nThe gap between those two scores isn't intelligence — it's preparation.\n\n— Athena\n\nReference the provided style image to maintain visual consistency in palette, illustration style, and layout.","input_urls":["https://tempfile.redpandaai.co/kieai/11402406/athena-refs/style_ref.jpg"],"aspect_ratio":"4:5"}}</t>
  </si>
  <si>
    <t>7a73041cbfbf6dfb74e65fa0f00ea84c</t>
  </si>
  <si>
    <t>https://tempfile.aiquickdraw.com/images/chatgpt/file_00000000ff30822f946db37b01ceec19.png</t>
  </si>
  <si>
    <t>1Y-Zfp8zgHghSaoO-na96xDCyEzWJCcR_</t>
  </si>
  <si>
    <t>https://drive.google.com/uc?id=1Y-Zfp8zgHghSaoO-na96xDCyEzWJCcR_</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</si>
  <si>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She got a 1080.
She's capable of a 1350.
The gap between those two scores isn't intelligence — it's preparation.
— Athena
Reference the provided style image to maintain visual consistency in palette, illustration style, and layout.</t>
  </si>
  <si>
    <t>notes_app_1784319564383_3</t>
  </si>
  <si>
    <t>Dear parents,
He studied for three weeks.
The score didn't move.
Studying harder only works if you're studying the right things.
— Athena</t>
  </si>
  <si>
    <t>Validates a frustrating and common experience. 'Studying the right things' positions Athena's personalization without overselling.</t>
  </si>
  <si>
    <t>2026-07-17T13:19:36.904-07:00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</si>
  <si>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parents,\n\nHe studied for three weeks.\nThe score didn't move.\n\nStudying harder only works if you're studying the right things.\n\n— Athena\n\nReference the provided style image to maintain visual consistency in palette, illustration style, and layout.","input_urls":["https://tempfile.redpandaai.co/kieai/11402406/athena-refs/style_ref.jpg"],"aspect_ratio":"4:5"}}</t>
  </si>
  <si>
    <t>bfcf54cbee661c8d6ab2143892df1af1</t>
  </si>
  <si>
    <t>https://tempfile.aiquickdraw.com/images/chatgpt/file_00000000a80081f69c3b3c0515b679e5.png</t>
  </si>
  <si>
    <t>1gNLP7v2yUiSrWnYnARt_jllLrDcJyz9R</t>
  </si>
  <si>
    <t>https://drive.google.com/uc?id=1gNLP7v2yUiSrWnYnARt_jllLrDcJyz9R</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</si>
  <si>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He studied for three weeks.
The score didn't move.
Studying harder only works if you're studying the right things.
— Athena
Reference the provided style image to maintain visual consistency in palette, illustration style, and layout.</t>
  </si>
  <si>
    <t>notes_app_1784319564383_6</t>
  </si>
  <si>
    <t>Dear parents,
You spent $4,000 on a tutor last year.
You're not sure it helped.
Most parents aren't sure — they just don't say it out loud.
— Athena</t>
  </si>
  <si>
    <t>Boldly names the unspoken doubt parents carry about tutor ROI. Highly relatable and sets up Athena as the accountable alternative.</t>
  </si>
  <si>
    <t>2026-07-17T13:19:36.907-07:00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</si>
  <si>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parents,\n\nYou spent $4,000 on a tutor last year.\nYou're not sure it helped.\n\nMost parents aren't sure — they just don't say it out loud.\n\n— Athena\n\nReference the provided style image to maintain visual consistency in palette, illustration style, and layout.","input_urls":["https://tempfile.redpandaai.co/kieai/11402406/athena-refs/style_ref.jpg"],"aspect_ratio":"4:5"}}</t>
  </si>
  <si>
    <t>887f340c78be53ff9502cc5262d936bf</t>
  </si>
  <si>
    <t>https://tempfile.aiquickdraw.com/images/chatgpt/file_00000000649081f58406383443baf7cc.png</t>
  </si>
  <si>
    <t>1hywJrtsUhuUQjmnAA90oXzg-4oiFByHJ</t>
  </si>
  <si>
    <t>https://drive.google.com/uc?id=1hywJrtsUhuUQjmnAA90oXzg-4oiFByHJ</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</si>
  <si>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You spent $4,000 on a tutor last year.
You're not sure it helped.
Most parents aren't sure — they just don't say it out loud.
— Athena
Reference the provided style image to maintain visual consistency in palette, illustration style, and layout.</t>
  </si>
  <si>
    <t>notes_app_1784319564383_7</t>
  </si>
  <si>
    <t>Dear parents,
He's smart. Everyone says so.
The SAT doesn't know that yet.
Smart and 'knows how to take this test' are two completely different things.
— Athena</t>
  </si>
  <si>
    <t>Smart vs. knows how to take this test' is a genuinely useful and non-cliche distinction. Parents of high-achievers will feel seen.</t>
  </si>
  <si>
    <t>2026-07-17T13:19:36.910-07:00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</si>
  <si>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parents,\n\nHe's smart. Everyone says so.\nThe SAT doesn't know that yet.\n\nSmart and 'knows how to take this test' are two completely different things.\n\n— Athena\n\nReference the provided style image to maintain visual consistency in palette, illustration style, and layout.","input_urls":["https://tempfile.redpandaai.co/kieai/11402406/athena-refs/style_ref.jpg"],"aspect_ratio":"4:5"}}</t>
  </si>
  <si>
    <t>c0d672913d0e15274e86129076c53eb5</t>
  </si>
  <si>
    <t>https://tempfile.aiquickdraw.com/images/chatgpt/file_000000001d28820c9151ce681ac0bb95.png</t>
  </si>
  <si>
    <t>1piNcrby3rajHw_--5Cz9_Ivm7xc1hk12</t>
  </si>
  <si>
    <t>https://drive.google.com/uc?id=1piNcrby3rajHw_--5Cz9_Ivm7xc1hk12</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</si>
  <si>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He's smart. Everyone says so.
The SAT doesn't know that yet.
Smart and 'knows how to take this test' are two completely different things.
— Athena
Reference the provided style image to maintain visual consistency in palette, illustration style, and layout.</t>
  </si>
  <si>
    <t>notes_app_1784319564383_8</t>
  </si>
  <si>
    <t>Dear parents,
She cried after the last practice test.
Then said she didn't want to talk about it.
The score isn't the only thing that needs attention right now.
— Athena</t>
  </si>
  <si>
    <t>Emotional and specific. Crying after a practice test is a real moment many families recognize. Broadens Athena's positioning beyond score improvement.</t>
  </si>
  <si>
    <t>2026-07-17T13:19:36.914-07:00</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</si>
  <si>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parents,\n\nShe cried after the last practice test.\nThen said she didn't want to talk about it.\n\nThe score isn't the only thing that needs attention right now.\n\n— Athena\n\nReference the provided style image to maintain visual consistency in palette, illustration style, and layout.","input_urls":["https://tempfile.redpandaai.co/kieai/11402406/athena-refs/style_ref.jpg"],"aspect_ratio":"4:5"}}</t>
  </si>
  <si>
    <t>060bc1266a06ef70af818ad6f2e8f792</t>
  </si>
  <si>
    <t>https://tempfile.aiquickdraw.com/images/chatgpt/file_00000000db4c81fdb810028b3720126e.png</t>
  </si>
  <si>
    <t>1rpr9ZbgLgaduwQc0MD3YB31H3A-l5eFf</t>
  </si>
  <si>
    <t>https://drive.google.com/uc?id=1rpr9ZbgLgaduwQc0MD3YB31H3A-l5eFf</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</si>
  <si>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She cried after the last practice test.
Then said she didn't want to talk about it.
The score isn't the only thing that needs attention right now.
— Athena
Reference the provided style image to maintain visual consistency in palette, illustration style, and layout.</t>
  </si>
  <si>
    <t>sat_myth_1784319677066_0</t>
  </si>
  <si>
    <t>Myth statement: 'MORE PRACTICE TESTS = BETTER SCORES'
Visual scene: The girl sits at a kitchen table completely buried under an avalanche of crumpled practice tests — hundreds of them cascading off the table, piling on the floor around her feet. She's holding a freshly scored test in her hands, staring at it with the same defeated expression she's had for weeks. The score written at the top is identical to the one she got three months ago. A tall, precarious stack of completed tests towers beside her like a monument to wasted effort. On the wall behind her, a calendar shows weeks crossed off. Nothing has changed.
Insight line: 'Doing the same thing more isn't practice. Understanding why you got it wrong — that's what moves the needle.'</t>
  </si>
  <si>
    <t>Strong visual metaphor, insight is sharp and actionable — 'doing the same thing more' hits a real parent pain point without feeling generic</t>
  </si>
  <si>
    <t>2026-07-17T13:21:30.558-07:00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</si>
  <si>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'MORE PRACTICE TESTS = BETTER SCORES'\n\nVisual scene: The girl sits at a kitchen table completely buried under an avalanche of crumpled practice tests — hundreds of them cascading off the table, piling on the floor around her feet. She's holding a freshly scored test in her hands, staring at it with the same defeated expression she's had for weeks. The score written at the top is identical to the one she got three months ago. A tall, precarious stack of completed tests towers beside her like a monument to wasted effort. On the wall behind her, a calendar shows weeks crossed off. Nothing has changed.\n\nInsight line: 'Doing the same thing more isn't practice. Understanding why you got it wrong — that's what moves the needle.'\n\nReference the provided style image to maintain visual consistency in palette, illustration style, and layout.","input_urls":["https://tempfile.redpandaai.co/kieai/11402406/athena-refs/style_ref.jpg"],"aspect_ratio":"4:5"}}</t>
  </si>
  <si>
    <t>27b1da0ae2f5830ce1edf7da8809c63e</t>
  </si>
  <si>
    <t>https://tempfile.aiquickdraw.com/images/chatgpt/file_0000000032f481f5a2ee036756cfe8de.png</t>
  </si>
  <si>
    <t>13dFj4PT2gRoHpYus_4kOtyxy5xfZ0SC0</t>
  </si>
  <si>
    <t>https://drive.google.com/uc?id=13dFj4PT2gRoHpYus_4kOtyxy5xfZ0SC0</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</si>
  <si>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'MORE PRACTICE TESTS = BETTER SCORES'
Visual scene: The girl sits at a kitchen table completely buried under an avalanche of crumpled practice tests — hundreds of them cascading off the table, piling on the floor around her feet. She's holding a freshly scored test in her hands, staring at it with the same defeated expression she's had for weeks. The score written at the top is identical to the one she got three months ago. A tall, precarious stack of completed tests towers beside her like a monument to wasted effort. On the wall behind her, a calendar shows weeks crossed off. Nothing has changed.
Insight line: 'Doing the same thing more isn't practice. Understanding why you got it wrong — that's what moves the needle.'
Reference the provided style image to maintain visual consistency in palette, illustration style, and layout.</t>
  </si>
  <si>
    <t>sat_myth_1784319677066_1</t>
  </si>
  <si>
    <t>Myth statement: 'THE SAT TESTS HOW SMART YOU ARE'
Visual scene: The girl stands in front of a carnival 'Test Your Strength' high striker game — the kind where you swing a mallet to ring a bell at the top. But instead of measuring strength, the tower is labeled with things like 'trick question patterns,' 'pacing strategy,' 'process of elimination,' and 'knowing the test's rules.' She's gripping the mallet confidently. Nearby on the ground, a discarded sign reads 'INTELLIGENCE METER' — clearly thrown aside. The bell at the top is within reach. This isn't about raw power. It's about knowing how to swing.
Insight line: 'The SAT doesn't measure your intelligence. It measures how well you know the SAT — and that's something you can actually learn.'</t>
  </si>
  <si>
    <t>Carnival striker is a fresh, memorable visual; reframing SAT as learnable skill vs. intelligence is core Athena positioning and resonates with frustrated parents</t>
  </si>
  <si>
    <t>2026-07-17T13:21:30.562-07:00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</si>
  <si>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'THE SAT TESTS HOW SMART YOU ARE'\n\nVisual scene: The girl stands in front of a carnival 'Test Your Strength' high striker game — the kind where you swing a mallet to ring a bell at the top. But instead of measuring strength, the tower is labeled with things like 'trick question patterns,' 'pacing strategy,' 'process of elimination,' and 'knowing the test's rules.' She's gripping the mallet confidently. Nearby on the ground, a discarded sign reads 'INTELLIGENCE METER' — clearly thrown aside. The bell at the top is within reach. This isn't about raw power. It's about knowing how to swing.\n\nInsight line: 'The SAT doesn't measure your intelligence. It measures how well you know the SAT — and that's something you can actually learn.'\n\nReference the provided style image to maintain visual consistency in palette, illustration style, and layout.","input_urls":["https://tempfile.redpandaai.co/kieai/11402406/athena-refs/style_ref.jpg"],"aspect_ratio":"4:5"}}</t>
  </si>
  <si>
    <t>25dccd0ae8561f4b4b6dcacc07c47bde</t>
  </si>
  <si>
    <t>https://tempfile.aiquickdraw.com/images/chatgpt/file_0000000009e081f59a4800660ba81c1a.png</t>
  </si>
  <si>
    <t>1Rt2DxLZiSNh5ci9KEhxCQh_7N4-3DAfa</t>
  </si>
  <si>
    <t>https://drive.google.com/uc?id=1Rt2DxLZiSNh5ci9KEhxCQh_7N4-3DAfa</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</si>
  <si>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'THE SAT TESTS HOW SMART YOU ARE'
Visual scene: The girl stands in front of a carnival 'Test Your Strength' high striker game — the kind where you swing a mallet to ring a bell at the top. But instead of measuring strength, the tower is labeled with things like 'trick question patterns,' 'pacing strategy,' 'process of elimination,' and 'knowing the test's rules.' She's gripping the mallet confidently. Nearby on the ground, a discarded sign reads 'INTELLIGENCE METER' — clearly thrown aside. The bell at the top is within reach. This isn't about raw power. It's about knowing how to swing.
Insight line: 'The SAT doesn't measure your intelligence. It measures how well you know the SAT — and that's something you can actually learn.'
Reference the provided style image to maintain visual consistency in palette, illustration style, and layout.</t>
  </si>
  <si>
    <t>sat_myth_1784319677066_3</t>
  </si>
  <si>
    <t>Myth statement: 'IF SHE READS A LOT, HER READING SCORE WILL BE FINE'
Visual scene: The girl sits comfortably in an armchair with a thick novel open in her lap — she looks relaxed, happy, totally in her element. In front of her floats a ghostly projection of an actual SAT Reading passage: dense, strange, academic, with a question below it asking about 'the primary rhetorical purpose of lines 34-41.' She's glancing at the projection with wide, uncertain eyes. The cozy world of her novel and the clinical world of the SAT question are visually completely different — warm soft lamplight versus cold blue clinical text. Two completely different skills wearing the same name.
Insight line: 'Loving books builds a reader. The SAT tests something different — a specific, learnable set of analytical moves that casual reading never teaches.'</t>
  </si>
  <si>
    <t>Genuinely nuanced myth that bookish students and their parents hold — the warm-vs-cold visual contrast is evocative and the insight reframes without shame</t>
  </si>
  <si>
    <t>2026-07-17T13:21:30.566-07:00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</si>
  <si>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'IF SHE READS A LOT, HER READING SCORE WILL BE FINE'\n\nVisual scene: The girl sits comfortably in an armchair with a thick novel open in her lap — she looks relaxed, happy, totally in her element. In front of her floats a ghostly projection of an actual SAT Reading passage: dense, strange, academic, with a question below it asking about 'the primary rhetorical purpose of lines 34-41.' She's glancing at the projection with wide, uncertain eyes. The cozy world of her novel and the clinical world of the SAT question are visually completely different — warm soft lamplight versus cold blue clinical text. Two completely different skills wearing the same name.\n\nInsight line: 'Loving books builds a reader. The SAT tests something different — a specific, learnable set of analytical moves that casual reading never teaches.'\n\nReference the provided style image to maintain visual consistency in palette, illustration style, and layout.","input_urls":["https://tempfile.redpandaai.co/kieai/11402406/athena-refs/style_ref.jpg"],"aspect_ratio":"4:5"}}</t>
  </si>
  <si>
    <t>ee89dbe6896fb9c2ac247f6d283d6022</t>
  </si>
  <si>
    <t>https://tempfile.aiquickdraw.com/images/chatgpt/file_00000000f1d8820c9e3886cc5524d6ec.png</t>
  </si>
  <si>
    <t>1qVVm7k4tAajrqOwKe31BSyh8tKVv__eC</t>
  </si>
  <si>
    <t>https://drive.google.com/uc?id=1qVVm7k4tAajrqOwKe31BSyh8tKVv__eC</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</si>
  <si>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'IF SHE READS A LOT, HER READING SCORE WILL BE FINE'
Visual scene: The girl sits comfortably in an armchair with a thick novel open in her lap — she looks relaxed, happy, totally in her element. In front of her floats a ghostly projection of an actual SAT Reading passage: dense, strange, academic, with a question below it asking about 'the primary rhetorical purpose of lines 34-41.' She's glancing at the projection with wide, uncertain eyes. The cozy world of her novel and the clinical world of the SAT question are visually completely different — warm soft lamplight versus cold blue clinical text. Two completely different skills wearing the same name.
Insight line: 'Loving books builds a reader. The SAT tests something different — a specific, learnable set of analytical moves that casual reading never teaches.'
Reference the provided style image to maintain visual consistency in palette, illustration style, and layout.</t>
  </si>
  <si>
    <t>sat_myth_1784319677066_5</t>
  </si>
  <si>
    <t>Myth statement: 'A TUTOR ONE WEEK BEFORE THE TEST WILL SAVE THE SCORE'
Visual scene: A crumbling sandcastle sits on a beach — elaborate, tall, clearly built over many weeks — but a wave is already pulling at its base. The girl stands behind it in a panic, pressing her palms against the sides trying to hold the structure together. Beside her on the sand is a single small plastic toy shovel she just arrived with, clearly inadequate for the scale of what's in front of her. She arrived with help, but far too late for it to change the outcome. The wave doesn't pause.
Insight line: 'Last-minute tutoring can calm nerves — but scores are built over months, not sessions. The foundation has to be there first.'</t>
  </si>
  <si>
    <t>Sandcastle-plus-toy-shovel is a vivid, emotionally honest image parents will feel in their gut; speaks directly to late-stage panic without being preachy</t>
  </si>
  <si>
    <t>2026-07-17T13:21:30.570-07:00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</si>
  <si>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'A TUTOR ONE WEEK BEFORE THE TEST WILL SAVE THE SCORE'\n\nVisual scene: A crumbling sandcastle sits on a beach — elaborate, tall, clearly built over many weeks — but a wave is already pulling at its base. The girl stands behind it in a panic, pressing her palms against the sides trying to hold the structure together. Beside her on the sand is a single small plastic toy shovel she just arrived with, clearly inadequate for the scale of what's in front of her. She arrived with help, but far too late for it to change the outcome. The wave doesn't pause.\n\nInsight line: 'Last-minute tutoring can calm nerves — but scores are built over months, not sessions. The foundation has to be there first.'\n\nReference the provided style image to maintain visual consistency in palette, illustration style, and layout.","input_urls":["https://tempfile.redpandaai.co/kieai/11402406/athena-refs/style_ref.jpg"],"aspect_ratio":"4:5"}}</t>
  </si>
  <si>
    <t>d1dd44744c44fb0a9671723ddb047bde</t>
  </si>
  <si>
    <t>https://tempfile.aiquickdraw.com/images/chatgpt/file_00000000ea8081f5ba8c7e206116b347.png</t>
  </si>
  <si>
    <t>1HGXQScckhfxJIdjdFQJhTMM3GxxtdfU9</t>
  </si>
  <si>
    <t>https://drive.google.com/uc?id=1HGXQScckhfxJIdjdFQJhTMM3GxxtdfU9</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</si>
  <si>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'A TUTOR ONE WEEK BEFORE THE TEST WILL SAVE THE SCORE'
Visual scene: A crumbling sandcastle sits on a beach — elaborate, tall, clearly built over many weeks — but a wave is already pulling at its base. The girl stands behind it in a panic, pressing her palms against the sides trying to hold the structure together. Beside her on the sand is a single small plastic toy shovel she just arrived with, clearly inadequate for the scale of what's in front of her. She arrived with help, but far too late for it to change the outcome. The wave doesn't pause.
Insight line: 'Last-minute tutoring can calm nerves — but scores are built over months, not sessions. The foundation has to be there first.'
Reference the provided style image to maintain visual consistency in palette, illustration style, and layout.</t>
  </si>
  <si>
    <t>sat_myth_1784319677066_6</t>
  </si>
  <si>
    <t>Myth statement: 'MATH IS THE ONLY SECTION WORTH STUDYING'
Visual scene: A seesaw on a school playground. On one side, the girl sits high up in the air — the math side, labeled with a textbook and calculator — looking pleased. The other side of the seesaw sits heavily planted on the ground, loaded with a giant Reading &amp; Writing section symbol that's being completely ignored. Her overall score, shown as a single number floating above the seesaw, is visibly lopsided — dragged down by the grounded side no matter how high the math side goes. She hasn't noticed yet.
Insight line: 'Your total score is the sum of both sections. Ignoring one to max out the other is a strategy that always leaves points on the table.'</t>
  </si>
  <si>
    <t>Seesaw visual is clean and instantly legible; addresses a real blind spot many students and parents have, feels practical and brand-aligned</t>
  </si>
  <si>
    <t>2026-07-17T13:21:30.574-07:00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</si>
  <si>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'MATH IS THE ONLY SECTION WORTH STUDYING'\n\nVisual scene: A seesaw on a school playground. On one side, the girl sits high up in the air — the math side, labeled with a textbook and calculator — looking pleased. The other side of the seesaw sits heavily planted on the ground, loaded with a giant Reading &amp; Writing section symbol that's being completely ignored. Her overall score, shown as a single number floating above the seesaw, is visibly lopsided — dragged down by the grounded side no matter how high the math side goes. She hasn't noticed yet.\n\nInsight line: 'Your total score is the sum of both sections. Ignoring one to max out the other is a strategy that always leaves points on the table.'\n\nReference the provided style image to maintain visual consistency in palette, illustration style, and layout.","input_urls":["https://tempfile.redpandaai.co/kieai/11402406/athena-refs/style_ref.jpg"],"aspect_ratio":"4:5"}}</t>
  </si>
  <si>
    <t>fadd97114dea8c5b0bceb8536e487056</t>
  </si>
  <si>
    <t>https://tempfile.aiquickdraw.com/images/chatgpt/file_00000000367c822f88adba7730f54010.png</t>
  </si>
  <si>
    <t>11uR4-giua9lyqE6fMVoVoses-m7LLSsH</t>
  </si>
  <si>
    <t>https://drive.google.com/uc?id=11uR4-giua9lyqE6fMVoVoses-m7LLSsH</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</si>
  <si>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'MATH IS THE ONLY SECTION WORTH STUDYING'
Visual scene: A seesaw on a school playground. On one side, the girl sits high up in the air — the math side, labeled with a textbook and calculator — looking pleased. The other side of the seesaw sits heavily planted on the ground, loaded with a giant Reading &amp; Writing section symbol that's being completely ignored. Her overall score, shown as a single number floating above the seesaw, is visibly lopsided — dragged down by the grounded side no matter how high the math side goes. She hasn't noticed yet.
Insight line: 'Your total score is the sum of both sections. Ignoring one to max out the other is a strategy that always leaves points on the table.'
Reference the provided style image to maintain visual consistency in palette, illustration style, and layout.</t>
  </si>
  <si>
    <t>sat_myth_1784319677066_7</t>
  </si>
  <si>
    <t>Myth statement: 'SHE JUST NEEDS TO TRY HARDER'
Visual scene: The girl is pushing a massive boulder up a steep hill — sneakers digging into the dirt, arms shaking, face red with effort. She is clearly trying as hard as any person possibly could. But the boulder has a crack down the middle revealing what's inside: not laziness, not attitude, but a tangled mess of gaps — a misunderstood grammar rule, a timing strategy she never learned, a math concept that was taught but never clicked. The effort is real and total. The problem was never effort. It's that no one showed her what to actually fix.
Insight line: 'She is trying. The problem isn't effort — it's that effort without direction just exhausts her. She needs to know exactly what to fix and how.'</t>
  </si>
  <si>
    <t>Boulder-with-a-crack is the standout concept — emotionally resonant for parents who've said 'just try harder,' humanizes the student, positions Athena as diagnostic not motivational</t>
  </si>
  <si>
    <t>2026-07-17T13:21:30.577-07:00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</si>
  <si>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'SHE JUST NEEDS TO TRY HARDER'\n\nVisual scene: The girl is pushing a massive boulder up a steep hill — sneakers digging into the dirt, arms shaking, face red with effort. She is clearly trying as hard as any person possibly could. But the boulder has a crack down the middle revealing what's inside: not laziness, not attitude, but a tangled mess of gaps — a misunderstood grammar rule, a timing strategy she never learned, a math concept that was taught but never clicked. The effort is real and total. The problem was never effort. It's that no one showed her what to actually fix.\n\nInsight line: 'She is trying. The problem isn't effort — it's that effort without direction just exhausts her. She needs to know exactly what to fix and how.'\n\nReference the provided style image to maintain visual consistency in palette, illustration style, and layout.","input_urls":["https://tempfile.redpandaai.co/kieai/11402406/athena-refs/style_ref.jpg"],"aspect_ratio":"4:5"}}</t>
  </si>
  <si>
    <t>58ec179d645a447241421683c7ae4075</t>
  </si>
  <si>
    <t>https://tempfile.aiquickdraw.com/images/chatgpt/file_00000000c82481f7bdce56a3bfb8a5d3.png</t>
  </si>
  <si>
    <t>1_aqXtuUo8nDPKzaFAt7sTQPjQ0S-U3E4</t>
  </si>
  <si>
    <t>https://drive.google.com/uc?id=1_aqXtuUo8nDPKzaFAt7sTQPjQ0S-U3E4</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</si>
  <si>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'SHE JUST NEEDS TO TRY HARDER'
Visual scene: The girl is pushing a massive boulder up a steep hill — sneakers digging into the dirt, arms shaking, face red with effort. She is clearly trying as hard as any person possibly could. But the boulder has a crack down the middle revealing what's inside: not laziness, not attitude, but a tangled mess of gaps — a misunderstood grammar rule, a timing strategy she never learned, a math concept that was taught but never clicked. The effort is real and total. The problem was never effort. It's that no one showed her what to actually fix.
Insight line: 'She is trying. The problem isn't effort — it's that effort without direction just exhausts her. She needs to know exactly what to fix and how.'
Reference the provided style image to maintain visual consistency in palette, illustration style, and layout.</t>
  </si>
  <si>
    <t>sat_myth_1784319677066_8</t>
  </si>
  <si>
    <t>Myth statement: 'A HIGH GPA MEANS THE SAT WILL BE EASY'
Visual scene: The girl stands confidently in front of a door labeled 'SAT' holding a big gold trophy — her academic record, clearly impressive. She tries to use the trophy as a key to open the door. It doesn't fit. The door has a completely different, unusual-shaped keyhole — the shape of specific SAT strategies and test-taking skills. She's staring at the keyhole with genuine confusion. The trophy is real. The achievement is real. It just doesn't open this particular door.
Insight line: 'School rewards mastering what you were taught. The SAT rewards a different skill set entirely — one that great students still have to learn from scratch.'</t>
  </si>
  <si>
    <t>Trophy-as-wrong-key is a crisp, original visual; directly addresses the high-GPA parent who is blindsided by a flat SAT score — high relevance audience</t>
  </si>
  <si>
    <t>2026-07-17T13:21:30.581-07:00</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</si>
  <si>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'A HIGH GPA MEANS THE SAT WILL BE EASY'\n\nVisual scene: The girl stands confidently in front of a door labeled 'SAT' holding a big gold trophy — her academic record, clearly impressive. She tries to use the trophy as a key to open the door. It doesn't fit. The door has a completely different, unusual-shaped keyhole — the shape of specific SAT strategies and test-taking skills. She's staring at the keyhole with genuine confusion. The trophy is real. The achievement is real. It just doesn't open this particular door.\n\nInsight line: 'School rewards mastering what you were taught. The SAT rewards a different skill set entirely — one that great students still have to learn from scratch.'\n\nReference the provided style image to maintain visual consistency in palette, illustration style, and layout.","input_urls":["https://tempfile.redpandaai.co/kieai/11402406/athena-refs/style_ref.jpg"],"aspect_ratio":"4:5"}}</t>
  </si>
  <si>
    <t>6e796a5e7771af0f9df32ed0cb32eb49</t>
  </si>
  <si>
    <t>https://tempfile.aiquickdraw.com/images/chatgpt/file_00000000b3ac81f6809e6e618577a4a6.png</t>
  </si>
  <si>
    <t>1ouMFxnQKWbyLQRuhrF7dLwGN7d4sssNv</t>
  </si>
  <si>
    <t>https://drive.google.com/uc?id=1ouMFxnQKWbyLQRuhrF7dLwGN7d4sssNv</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</si>
  <si>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'A HIGH GPA MEANS THE SAT WILL BE EASY'
Visual scene: The girl stands confidently in front of a door labeled 'SAT' holding a big gold trophy — her academic record, clearly impressive. She tries to use the trophy as a key to open the door. It doesn't fit. The door has a completely different, unusual-shaped keyhole — the shape of specific SAT strategies and test-taking skills. She's staring at the keyhole with genuine confusion. The trophy is real. The achievement is real. It just doesn't open this particular door.
Insight line: 'School rewards mastering what you were taught. The SAT rewards a different skill set entirely — one that great students still have to learn from scratch.'
Reference the provided style image to maintain visual consistency in palette, illustration style, and layout.</t>
  </si>
  <si>
    <t>sat_myth_1784570131801_0</t>
  </si>
  <si>
    <t>Myth statement: 'MORE PRACTICE TESTS = HIGHER SCORES'. Visual scene: The girl sits at a desk buried under an avalanche of crumpled practice tests, more cascading off the edges. She's mid-paper-test, pencil in hand, but her eyes are glazed and exhausted — the stack is so tall it blocks the window behind her. A single red circled wrong answer is visible on the top sheet, the same mistake repeated on every visible page beneath it. The pile is growing, not shrinking. Insight line at bottom: 'Repeating mistakes faster is not the same as learning from them.'</t>
  </si>
  <si>
    <t>Strong visual metaphor, resonates with burned-out students and frustrated parents, insight is genuinely useful and non-obvious</t>
  </si>
  <si>
    <t>2026-07-20T10:55:43.578-07:00</t>
  </si>
  <si>
    <t>sat_myth_1784570131801_1</t>
  </si>
  <si>
    <t>Myth statement: 'THE SAT IS MOSTLY ABOUT MEMORIZING VOCABULARY'. Visual scene: The girl stands in front of an enormous, floor-to-ceiling corkboard covered in thousands of flashcards — every inch papered over with obscure words. She's pinning up yet another card, teetering on a stepladder, looking overwhelmed. But the actual SAT reading passage pinned in the center of the board is tiny, almost buried, with a sticky note arrow pointing at it reading 'this is what they actually test.' The vocabulary wall dwarfs everything, clearly the wrong target. Insight line at bottom: 'The SAT tests whether you can read carefully — not whether you can recite a dictionary.'</t>
  </si>
  <si>
    <t>Directly counters a persistent parent misconception, visual is memorable and clear, insight reframes what the SAT actually tests</t>
  </si>
  <si>
    <t>2026-07-20T10:55:43.581-07:00</t>
  </si>
  <si>
    <t>sat_myth_1784570131801_2</t>
  </si>
  <si>
    <t>Myth statement: 'GOOD STUDENTS DON'T NEED SAT PREP'. Visual scene: The girl holds a straight-A report card in one hand while staring, wide-eyed and frozen, at an SAT math problem projected on a classroom screen. The problem involves a data table and a graph — nothing like classroom algebra. Her report card hand is lowering slightly, confidence visibly draining. A trophy for academic excellence sits on the desk beside her, polished and irrelevant. Insight line at bottom: 'The SAT is a specific skill set. Being a great student means you can learn it — not that you already have.'</t>
  </si>
  <si>
    <t>High resonance with high-achieving students who underperform on SAT, validates confusion without dismissing capability, aligns with Athena positioning</t>
  </si>
  <si>
    <t>2026-07-20T10:55:43.583-07:00</t>
  </si>
  <si>
    <t>sat_myth_1784570131801_3</t>
  </si>
  <si>
    <t>Myth statement: 'YOU SHOULD REVIEW EVERY WRONG ANSWER THE SAME WAY'. Visual scene: The girl sits with a single practice test, carefully color-coding every wrong answer with the same bright highlighter in a rigid, mechanical row. But a magnifying glass hovering over the page (held by no one — just floating, an illustrative device) reveals that two of the wrong answers say 'careless slip' and two say 'no idea what this concept is' — completely different problems needing completely different fixes. She's treating a broken bone with a bandage. Insight line at bottom: 'A careless error and a knowledge gap look identical on a score report. They need completely different cures.'</t>
  </si>
  <si>
    <t>Sophisticated diagnostic insight that differentiates Athena from generic prep, floating magnifying glass is a clean visual device, non-cliche</t>
  </si>
  <si>
    <t>2026-07-20T10:55:43.586-07:00</t>
  </si>
  <si>
    <t>sat_myth_1784570131801_4</t>
  </si>
  <si>
    <t>Myth statement: 'TAKING THE SAT EARLIER GIVES YOUR CHILD AN ADVANTAGE'. Visual scene: The girl — looking much younger here, wearing an oversized backpack — sits alone in a massive, silent testing room. The other chairs are empty. The clock on the wall shows barely any time has passed. She's staring at the test booklet with the look of someone who arrived to a party a full year early. The room itself feels enormous around her small figure. Insight line at bottom: 'Testing before you are ready builds a score — and a story about yourself — that takes months to undo.'</t>
  </si>
  <si>
    <t>Addresses a real parent behavior driven by anxiety, insight about score narrative is sharp and underused in SAT content</t>
  </si>
  <si>
    <t>2026-07-20T10:55:43.589-07:00</t>
  </si>
  <si>
    <t>sat_myth_1784570131801_6</t>
  </si>
  <si>
    <t>Myth statement: 'SKIPPING QUESTIONS ALWAYS COSTS YOU POINTS'. Visual scene: The girl is in a race, sprinting down a track. Every other lane has a hurdle. Her lane is clear — but she keeps stopping to jump over the hurdles in other lanes, costing her precious time and stumbling at each one. Competitors who stayed in their own lanes have already passed the finish line. The hurdles are labeled with hard question types: 'complex graph interpretation,' 'obscure geometry.' Her own lane stretches open and unused ahead. Insight line at bottom: 'Skipping strategically is not giving up. It is how disciplined test-takers protect their score.'</t>
  </si>
  <si>
    <t>Skipping strategy is genuinely misunderstood, racing metaphor is fresh, insight is tactically useful and not preachy</t>
  </si>
  <si>
    <t>2026-07-20T10:55:43.592-07:00</t>
  </si>
  <si>
    <t>sat_myth_1784570131801_7</t>
  </si>
  <si>
    <t>Myth statement: 'A TUTOR WHO WENT TO A TOP COLLEGE WILL GET YOUR KID A TOP SCORE'. Visual scene: A prestigious diploma hangs in a gilded frame on the wall. Seated beneath it is a tutor — shown only from the back, wearing an Ivy League hoodie — facing the girl, who sits across a table looking more confused than when she started. The tutor gestures confidently at a problem. The girl's notebook page is covered in question marks. The diploma gleams. The girl is no closer to understanding. Insight line at bottom: 'Attending a great college proves someone was once a great student. It says nothing about their ability to explain why your kid keeps missing the same question.'</t>
  </si>
  <si>
    <t>Directly positions Athena against credential-chasing tutors, insight is pointed and parent-relevant, diploma visual is sharp without being mean</t>
  </si>
  <si>
    <t>2026-07-20T10:55:43.594-07:00</t>
  </si>
  <si>
    <t>sat_myth_1784570131801_8</t>
  </si>
  <si>
    <t>Myth statement: 'MATH IS THE ONLY SECTION WORTH FOCUSING ON'. Visual scene: The girl lifts a giant barbell labeled 'MATH' over her head with great effort — muscles shaking, teeth gritted. Behind her, entirely ignored, a second barbell labeled 'READING &amp; WRITING' sits on the floor collecting dust. A scoreboard on the wall shows both sections contributing equally to the total score. She cannot see it because her back is turned. Insight line at bottom: 'The SAT is scored equally across both sections. Half the test is reading. Half the strategy is usually aimed at math.'</t>
  </si>
  <si>
    <t>Real gap in student strategy, barbell visual is simple and effective, scoreboard detail adds credibility to the claim</t>
  </si>
  <si>
    <t>2026-07-20T10:55:43.597-07:00</t>
  </si>
  <si>
    <t>sat_myth_1784570131801_9</t>
  </si>
  <si>
    <t>Myth statement: 'ONCE YOU PLATEAU, YOU HAVE HIT YOUR CEILING'. Visual scene: The girl stands on a flat plateau — a rocky shelf with a clear edge. She stares out, dejected, assuming there is nowhere higher to go. But from the viewer's angle, we can see that just behind her, a small path winds up through fog to a higher ridge. The path is unmarked and she has simply never turned around to find it. A subtle footprint in the dust near the path suggests someone has gone that way before. Insight line at bottom: 'A plateau means the current approach stopped working. It is not a verdict on how far you can go.'</t>
  </si>
  <si>
    <t>Plateau frustration is emotionally resonant for both students and parents, hidden path metaphor is hopeful without being saccharine, aligns with Athena personalized growth narrative</t>
  </si>
  <si>
    <t>2026-07-20T10:55:43.601-07:00</t>
  </si>
  <si>
    <t>brain_teaser_1784570203535_0</t>
  </si>
  <si>
    <t>Puzzle: A sequence of numbers is shown — 2, 6, 12, 20, 30, ?. Below the sequence, a dashed line with a large orange question mark. The instruction oval reads: 'Find the pattern.' Answer: 42. The pattern is n×(n+1) — consecutive products: 1×2, 2×3, 3×4, 4×5, 5×6, 6×7.</t>
  </si>
  <si>
    <t>Clean pattern puzzle, visually simple, satisfying payoff — feels like something a sharp teacher would put on a warm-up slide</t>
  </si>
  <si>
    <t>2026-07-20T10:56:56.295-07:00</t>
  </si>
  <si>
    <t>brain_teaser_1784570203535_3</t>
  </si>
  <si>
    <t>Puzzle: 'If 5 cats catch 5 mice in 5 minutes, how many cats does it take to catch 100 mice in 100 minutes?' Large orange question mark below the dashed line. The instruction oval reads: 'Think carefully.' Answer: 5. Each cat catches 1 mouse per 5 minutes, so in 100 minutes each cat catches 20 mice — 5 cats catch 100 mice total. Most people instinctively write 100.</t>
  </si>
  <si>
    <t>Counterintuitive answer that genuinely surprises, mirrors SAT trap logic, widely relatable without feeling recycled</t>
  </si>
  <si>
    <t>2026-07-20T10:56:56.299-07:00</t>
  </si>
  <si>
    <t>brain_teaser_1784570203535_4</t>
  </si>
  <si>
    <t>Puzzle: A percentage problem — 'A jacket is marked up 25% and then discounted 25%. Is the final price higher, lower, or the same as the original?' Three big hand-drawn answer choices shown: HIGHER / LOWER / THE SAME. Large orange question mark below. The instruction oval reads: 'Classic SAT trap.' Answer: LOWER. Starting at $100 → up 25% = $125 → down 25% = $93.75. Percentages are not symmetric.</t>
  </si>
  <si>
    <t>Directly maps to a real SAT math concept, the reveal is genuinely surprising, works well as a stop-the-scroll hook</t>
  </si>
  <si>
    <t>2026-07-20T10:56:56.302-07:00</t>
  </si>
  <si>
    <t>brain_teaser_1784570203535_6</t>
  </si>
  <si>
    <t>Puzzle: 'A store sells apples for $0.50 each and oranges for $0.75 each. Maya buys 10 pieces of fruit and spends exactly $6.50. How many apples did she buy?' Dashed line and orange question mark below. The instruction oval reads: 'Can you solve it?' Answer: 5 apples and 5 oranges. Set up: 0.50a + 0.75o = 6.50, a + o = 10. Solving gives a = 5.</t>
  </si>
  <si>
    <t>Concrete, relatable scenario, models SAT system-of-equations setup without feeling like a textbook problem</t>
  </si>
  <si>
    <t>2026-07-20T10:56:56.305-07:00</t>
  </si>
  <si>
    <t>brain_teaser_1784570203535_9</t>
  </si>
  <si>
    <t>Puzzle: A reading/logic trap — 'There are 12 one-cent stamps in a dozen. How many two-cent stamps are in a dozen?' Large answer choices shown in hand-drawn style: 6 / 12 / 24. Orange question mark below the dashed line. The instruction oval reads: 'Classic SAT trap.' Answer: 12. A dozen is always 12 — regardless of the type of stamp. The '2-cent' detail is a distraction designed to make you divide.</t>
  </si>
  <si>
    <t>Perfect SAT trap format — plays on assumption vs. careful reading, mirrors actual SAT reading traps, punchy and fast to digest</t>
  </si>
  <si>
    <t>2026-07-20T10:56:56.309-07:00</t>
  </si>
  <si>
    <t>notes_app_1784570254179_0</t>
  </si>
  <si>
    <t>Reframes a common parental frustration with empathy; positions Athena as insight-giver not product-pusher; fresh angle on a real tension</t>
  </si>
  <si>
    <t>2026-07-20T10:57:46.402-07:00</t>
  </si>
  <si>
    <t>notes_app_1784570254179_1</t>
  </si>
  <si>
    <t>Dear parents,
The tutor comes on Tuesdays.
The test is in six weeks.
One hour a week was never going to be enough.
— Athena</t>
  </si>
  <si>
    <t>Calls out the one-hour-a-week tutoring myth directly; resonates with parents who've tried traditional tutoring; subtly argues for always-on access without saying AI</t>
  </si>
  <si>
    <t>2026-07-20T10:57:46.405-07:00</t>
  </si>
  <si>
    <t>notes_app_1784570254179_2</t>
  </si>
  <si>
    <t>Dear parents,
She got a 1080 on the practice test.
She cried in the car on the way home.
She doesn't need more pressure. She needs someone to explain what she got wrong.
— Athena</t>
  </si>
  <si>
    <t>Specific emotional scene (crying in the car) feels true and earned; shifts from pressure narrative to understanding narrative; strong brand fit</t>
  </si>
  <si>
    <t>2026-07-20T10:57:46.407-07:00</t>
  </si>
  <si>
    <t>notes_app_1784570254179_3</t>
  </si>
  <si>
    <t>Dear parents,
He said the test was 'fine.'
You already knew it wasn't.
The hardest part is watching them pretend they're not struggling.
— Athena</t>
  </si>
  <si>
    <t>Captures the painful parent-child communication gap authentically; 'fine' is universally recognizable; not cliché because it stays in the parent's perspective</t>
  </si>
  <si>
    <t>2026-07-20T10:57:46.410-07:00</t>
  </si>
  <si>
    <t>notes_app_1784570254179_4</t>
  </si>
  <si>
    <t>Dear parents,
You spent $4,000 on a prep course last year.
The score went up eighteen points.
Eighteen points.
— Athena</t>
  </si>
  <si>
    <t>Concrete number makes it hit hard; directly challenges the expensive course paradigm; provocative without being mean-spirited</t>
  </si>
  <si>
    <t>2026-07-20T10:57:46.413-07:00</t>
  </si>
  <si>
    <t>notes_app_1784570254179_6</t>
  </si>
  <si>
    <t>Dear parents,
He read the passage three times.
Still got it wrong.
Reading harder isn't the same as reading smarter.
— Athena</t>
  </si>
  <si>
    <t>Short, punchy, insight-led; 'reading harder vs reading smarter' is a genuine diagnostic truth that feels fresh and useful</t>
  </si>
  <si>
    <t>2026-07-20T10:57:46.415-07:00</t>
  </si>
  <si>
    <t>notes_app_1784570254179_7</t>
  </si>
  <si>
    <t>Dear parents,
The college list is already made.
The score doesn't match it yet.
Somewhere between those two facts is a lot of quiet worry.
— Athena</t>
  </si>
  <si>
    <t>Quiet worry' between the college list and the score is an emotionally precise observation; avoids panic-mongering while still being motivating</t>
  </si>
  <si>
    <t>2026-07-20T10:57:46.419-07:00</t>
  </si>
  <si>
    <t>notes_app_1784570254179_8</t>
  </si>
  <si>
    <t>Dear parents,
She studies every night.
The score isn't moving.
Working hard in the wrong direction is its own kind of heartbreak.
— Athena</t>
  </si>
  <si>
    <t>Working hard in the wrong direction' is a compelling and non-cliché insight; validates effort while identifying the real problem Athena solves</t>
  </si>
  <si>
    <t>2026-07-20T10:57:46.422-07:00</t>
  </si>
  <si>
    <t>comic_1784573890563_0</t>
  </si>
  <si>
    <t>Title banner: 'SAT LOGIC — Process of Elimination'
Panel 1 (Setup): Beagle sits at desk, pencil behind ear, cracking knuckles dramatically. Four answer choices visible on his practice test. His expression: total confidence. Thought bubble: 'I GOT THIS.'
Panel 2 (Escalation): Beagle circles Answer A immediately. Big satisfied grin. Pencil taps the paper twice. Clock on wall shows 8 minutes remaining.
Panel 3 (Hiccup): Beagle re-reads the question. Eyes narrow. Eraser comes out. He crosses off A. Then circles B. Then crosses off B. The paper is getting messy. His ear flops over one eye.
Panel 4 (Pivot): Athena leans in from the side, calm. She points gently at the two remaining choices. Her line: 'WHICH ONE FEELS WRONG?'
Panel 5 (Beat): Beagle stares at the page. Total silence. One wrong choice slowly becomes obvious — he can feel it. His paw hovers. Clock now shows 2 minutes.
Panel 6 (Punchline): Beagle circles the right answer. Slumps back in chair. Single line in small letters: '...i knew that four choices ago.'</t>
  </si>
  <si>
    <t>Clean execution of POE strategy. Athena's nudge feels like a real teacher moment, not a product feature. Beagle's self-aware punchline lands without being corny.</t>
  </si>
  <si>
    <t>2026-07-20T11:58:26.006-07:00</t>
  </si>
  <si>
    <t>comic_1784573890563_1</t>
  </si>
  <si>
    <t>Title banner: 'SAT LOGIC — The Vocabulary Trap'
Panel 1 (Setup): Beagle holds a flashcard deck, flipping through cards at lightning speed. Stack is enormous. Expression: energized, proud. Cards flying everywhere. One reads 'EPHEMERAL.'
Panel 2 (Escalation): He makes a tall pile of 'MASTERED' cards next to a tiny pile of 'STILL LEARNING' cards. Pats the big pile with one paw. Grin is enormous.
Panel 3 (Hiccup): Beagle opens his practice test. Reads a sentence. The word 'EPHEMERAL' is right there in context — but the question isn't asking what it means. It's asking what the word 'REVEAL' means three lines earlier. His ears droop.
Panel 4 (Pivot): Athena is seated nearby, not looking up from her book. Calm voice: 'WHAT DOES THE SENTENCE NEED?'
Panel 5 (Beat): Beagle slowly re-reads the sentence around 'REVEAL.' His big flashcard pile sits ignored in the corner. His eyes soften. The sentence is telling him the answer.
Panel 6 (Punchline): He writes the answer. Glances at his flashcard pile. Small defeated text: '...the sentence knew the whole time.'</t>
  </si>
  <si>
    <t>Vocabulary-in-context is a real SAT trap students fall into. The pivot from memorization to reading for meaning is genuinely useful and the punchline reframes the lesson memorably.</t>
  </si>
  <si>
    <t>2026-07-20T11:58:26.011-07:00</t>
  </si>
  <si>
    <t>comic_1784573890563_2</t>
  </si>
  <si>
    <t>Title banner: 'SAT LOGIC — Time Management'
Panel 1 (Setup): Beagle opens a fresh practice section. 27 questions visible on the page. He pulls out a stopwatch, sets it ceremonially, clicks it. Posture is military-straight. Very serious face.
Panel 2 (Escalation): Question 1. Beagle reads it, nods, answers fast. Question 2. Same. Question 3 — he pauses. Something interesting. He tilts his head. His tail begins wagging slowly.
Panel 3 (Hiccup): Close-up of the clock. Enormous amount of time has passed. Pull back to show Beagle still on Question 3, now surrounded by scratch paper covered in calculations. Three pencils have been used. He looks fascinated, not panicked — yet.
Panel 4 (Pivot): Athena taps the clock face with one finger. No words. Just a look.
Panel 5 (Beat): Beagle looks at the clock. Looks at Question 3. Looks at Questions 4 through 27 still ahead. His ears flatten slowly. The stopwatch mocks him from the desk corner.
Panel 6 (Punchline): He skips Question 3 and moves on. Under his breath, tiny text: '...we will never speak of question three.'</t>
  </si>
  <si>
    <t>Question 3 rabbit hole is deeply relatable. Athena's silent clock-tap is a perfect teacher move — shows presence without lecturing. Punchline is funny and honest.</t>
  </si>
  <si>
    <t>2026-07-20T11:58:26.014-07:00</t>
  </si>
  <si>
    <t>comic_1784573890563_4</t>
  </si>
  <si>
    <t>Title banner: 'SAT LOGIC — The Hard Question'
Panel 1 (Setup): Beagle is breezing through a math section. Quick marks, confident circles, a little skip in his paw-tap rhythm. Score is adding up in his head — visible thought bubble with a happy number.
Panel 2 (Escalation): He hits a problem near the end of the section. Reads it. Reads it again. The thought bubble number flickers nervously. He leans closer to the page as if proximity helps.
Panel 3 (Hiccup): Beagle's scratch paper is now covered in three different wrong approaches. He has drawn a diagram, crossed it out, drawn another. His fur is slightly puffed. Pencil is chewed at the end.
Panel 4 (Pivot): Athena stands beside him. She doesn't look at the problem. She looks at him. Her line: 'WHAT DO YOU KNOW FOR SURE?'
Panel 5 (Beat): Beagle stops. Writes down only what is definitely true about the problem — no guessing. Just facts from the question. One fact leads to a small step. The small step leads somewhere.
Panel 6 (Punchline): He solves it. Stares at the answer. Then at the scratch paper carnage around it. Quiet text: '...i had the first piece the whole time.'</t>
  </si>
  <si>
    <t>What do you know for sure' is underrated SAT math advice and rarely framed this way. Athena looking at Beagle instead of the problem is a strong humanizing detail that reads as a real teacher instinct.</t>
  </si>
  <si>
    <t>2026-07-20T11:58:26.018-07:00</t>
  </si>
  <si>
    <t>comic_1784573890563_5</t>
  </si>
  <si>
    <t>Title banner: 'SAT LOGIC — Checking Your Work'
Panel 1 (Setup): Beagle finishes a section with 8 minutes left on the clock. He stretches both arms wide, dramatically satisfied. Pencil placed down with ceremony. Leans back in chair.
Panel 2 (Escalation): He surveys the room. Yawns. Drumrolls on the desk. Looks at the clock — still 7 minutes left. Looks at the ceiling. Counts ceiling tiles.
Panel 3 (Hiccup): His eyes drift back to Question 14. Something pulls at him. He squints. Picks the pencil back up slowly. Re-reads Question 14. His ears flatten. That answer looks... different now.
Panel 4 (Pivot): Athena, sitting at a nearby chair, glances up. Simple: 'TRUST IT OR CHECK IT?'
Panel 5 (Beat): Beagle re-works Question 14 from scratch on fresh scratch paper. His original answer stares at him from the page. The new answer does not match.
Panel 6 (Punchline): He erases and fixes it. Clock hits zero right after. Tiny text, very quietly: '...six minutes well spent.'</t>
  </si>
  <si>
    <t>Checking work with remaining time is advice students ignore and parents worry about. The tension between confidence and doubt is well-staged. Punchline is quiet and satisfying.</t>
  </si>
  <si>
    <t>2026-07-20T11:58:26.023-07:00</t>
  </si>
  <si>
    <t>comic_1784573890563_6</t>
  </si>
  <si>
    <t>Title banner: 'SAT LOGIC — The Trap Answer'
Panel 1 (Setup): Beagle reads a math problem about a car traveling at a certain speed. He scans the answer choices. One jumps out immediately — it has the exact numbers from the question in it. His paw moves straight for it.
Panel 2 (Escalation): He circles it fast. Doesn't look back. Already moving to the next question. His tail wags once, satisfied.
Panel 3 (Hiccup): Section ends. Answers are revealed. That question has a red X next to it. Beagle looks confused. He goes back to re-read it. The question was asking for total time, not speed. The familiar-looking numbers were bait.
Panel 4 (Pivot): Athena holds up the question. Points to the last sentence only. Her line: 'WHAT DID IT ASK FOR?'
Panel 5 (Beat): Beagle re-reads the final sentence of the problem. The word 'TIME' is right there. He stares at it. His ear droops slowly over his eye like a curtain falling.
Panel 6 (Punchline): He circles the correct answer on a fresh copy. Whispers to himself, tiny text: '...the question always tells you the trap.'</t>
  </si>
  <si>
    <t>Trap answers using numbers from the problem are a real SAT design pattern. The misdirection plays out visually in a way that would genuinely help students recognize the pattern next time.</t>
  </si>
  <si>
    <t>2026-07-20T11:58:26.027-07:00</t>
  </si>
  <si>
    <t>comic_1784573890563_7</t>
  </si>
  <si>
    <t>Title banner: 'SAT LOGIC — Skipping and Returning'
Panel 1 (Setup): Beagle stares at Question 9. It's a long, weird word problem. He frowns. His pencil hovers. The clock is ticking visibly on the wall.
Panel 2 (Escalation): He tries to start it. Writes one number, crosses it out. Tries another approach. Crosses that out. Now there are scratch marks everywhere and he's still on the same question. Mild panic in the eyes.
Panel 3 (Hiccup): He looks at the clock. Three minutes gone on one question. The remaining questions sit there, untouched, silently judging. His pencil is now horizontal in his mouth like a dog with a stick.
Panel 4 (Pivot): Athena taps the page lightly, near Questions 10 through 15. Just taps. Her only words: 'POINTS ARE POINTS.'
Panel 5 (Beat): Beagle blinks. Circles Question 9 to return later. Moves to Question 10 — solves it in 30 seconds. Question 11 — another 30 seconds. He is moving again. Relief floods his face.
Panel 6 (Punchline): He finishes the section and circles back to Question 9. It looks slightly easier now. He solves it. Small tired text: '...nine was waiting for me to be ready.'</t>
  </si>
  <si>
    <t>Skip-and-return strategy is evergreen but the execution here is fresh — 'nine was waiting for me to be ready' reframes skipping as strategy not defeat. Athena's 'points are points' line is sharp.</t>
  </si>
  <si>
    <t>2026-07-20T11:58:26.031-07:00</t>
  </si>
  <si>
    <t>comic_1784573890563_8</t>
  </si>
  <si>
    <t>Title banner: 'SAT LOGIC — The Night Before'
Panel 1 (Setup): Beagle is at his desk at 11pm. Books stacked high. Flashcards fanned out. Practice tests everywhere. He pulls on a headband that says 'FOCUS' and cracks his knuckles. Ready to cram everything.
Panel 2 (Escalation): He starts reading a grammar rule. Then flips to a math formula sheet. Then starts a practice passage. Then opens a vocabulary list. All at once. Eyes going in different directions.
Panel 3 (Hiccup): Clock jumps to 1am. Beagle is face-down on the open practice test, snoring lightly. Pencil still in paw. 'FOCUS' headband askew. Books untouched. Everything exactly as chaotic as it started.
Panel 4 (Pivot): Athena appears in the doorway, holding a glass of water. She simply sets it on his desk and turns off the desk lamp. Her one line: 'REST IS PREP.'
Panel 5 (Beat): Beagle lifts his head. Looks at the lamp. Looks at the water. Looks at the enormous pile of materials he didn't actually use. His expression is somewhere between stubborn and exhausted.
Panel 6 (Punchline): He puts the books in his bag for tomorrow, drinks the water, shuffles off to bed. Tiny yawning text: '...the test is tomorrow, not tonight.'</t>
  </si>
  <si>
    <t>Night-before cramming is universal anxiety for parents and students. Athena turning off the lamp and saying 'rest is prep' positions her as the calm adult in the room — exactly on brand.</t>
  </si>
  <si>
    <t>2026-07-20T11:58:26.035-07:00</t>
  </si>
  <si>
    <t>comic_1784573890563_9</t>
  </si>
  <si>
    <t>Title banner: 'SAT LOGIC — The Wrong Formula'
Panel 1 (Setup): Beagle has memorized a full page of math formulas. He holds the page up proudly — it is dense with equations, all in his own handwriting. He taps it twice with one claw. 'GOT EM ALL.'
Panel 2 (Escalation): He opens his math section. Geometry question — a triangle. He immediately scans his memory for the formula. Finds one. Applies it confidently. Writes a big boxed answer.
Panel 3 (Hiccup): He checks the answer key. Wrong. He re-reads the problem. The triangle is a right triangle, but the formula he used was for area, not for finding the missing side. Both formulas involve triangles. He used the wrong one.
Panel 4 (Pivot): Athena sits beside him, slides the problem closer. Her line: 'WHAT IS THE QUESTION HUNTING FOR?'
Panel 5 (Beat): Beagle re-reads the question slowly. The word 'SIDE' is right there. He closes his eyes. Opens them. Finds the correct formula — the one for missing sides. It was always in his notes.
Panel 6 (Punchline): He solves it correctly. Sets his formula page down. Quiet small text: '...knowing the formula and knowing when to use it are different things.'</t>
  </si>
  <si>
    <t>Knowing a formula vs. knowing when to use it is a meaningful distinction that most prep content ignores. The punchline articulates the insight directly without being preachy.</t>
  </si>
  <si>
    <t>2026-07-20T11:58:26.039-07:00</t>
  </si>
  <si>
    <t>beagle_explains_1784574154239_0</t>
  </si>
  <si>
    <t>Title panel: 'Why does the SAT feel impossible... even when you studied?' Panel 2: Beagle sits at a cluttered desk late at night, highlighter in paw, staring at a stack of practice tests with tired, overwhelmed eyes. Text: 'You read the chapter. You did the problems.' Panel 3: Close-up of Beagle's face, one eyebrow raised, looking at a returned practice test with a low score circled in red. Text: 'So why does the score still look like this?' Panel 4: Side profile of Beagle at a whiteboard covered in random vocab words and formulas, chalk dust on nose, looking lost. Text: 'Studying everything... is studying nothing.' Panel 5: Overhead desk shot — Beagle's paws hold two pencils, one over a geometry problem, one over a reading passage, frozen. Text: 'Your brain doesn't know where to go next.' Panel 6: Medium shot — Beagle slumped in chair, chin on desk, eyes looking up with a tiny flicker of hope. Text: 'What if you only fixed the three things actually costing you points?' Panel 7: Beagle sits upright, pencil moving confidently across a clean notebook page, one problem at a time. A small sticky note on the desk reads 'just this.' Text: 'Targeted practice feels completely different.' Panel 8: Beagle looks directly at the viewer, warm smile, paw resting on a finished practice test with a much better score circled. Text: 'Ohhhh... that's why it finally clicked.'</t>
  </si>
  <si>
    <t>Strong emotional hook for overwhelmed students, targeted practice framing aligns with personalized teacher brand, fresh angle on a common frustration</t>
  </si>
  <si>
    <t>2026-07-20T12:02:50.328-07:00</t>
  </si>
  <si>
    <t>beagle_explains_1784574154239_1</t>
  </si>
  <si>
    <t>Title panel: 'Why do SAT reading questions feel like a trap?' Panel 2: Beagle leans forward over an open reading passage, nose almost touching the page, eyes squinting hard. Text: 'You read the whole thing. Twice.' Panel 3: Close-up of Beagle's paw hovering over four answer choices, all of which look correct. Confused head tilt. Text: 'And somehow... all four answers seem fine.' Panel 4: Over-the-shoulder shot of the passage — a single sentence is subtly underlined. Beagle hasn't noticed it yet. Text: 'The answer is always in the passage. Always.' Panel 5: Beagle turns back to the passage with fresh eyes, paw tracing back to that underlined sentence. Small light bulb doodle near head. Text: 'Two answers are almost right. One tiny word makes them wrong.' Panel 6: Medium shot — Beagle holds the answer sheet up triumphantly, circling the correct choice with a purple pen. Text: 'Not the one that sounds smart. The one the passage actually says.' Panel 7: Side angle of Beagle writing in a spiral notebook: 'go back to the text, go back to the text, go back to the text.' Text: 'That one rule fixes more questions than any strategy ever will.' Panel 8: Beagle smiles softly at the viewer, practice passage folded neatly beside a completed answer sheet. Text: 'Ohhhh... the passage was telling me the whole time.'</t>
  </si>
  <si>
    <t>Go back to the text' insight is actionable and genuinely useful, passage-based reasoning is core SAT reading skill, resonates with students who overthink answer choices</t>
  </si>
  <si>
    <t>2026-07-20T12:02:50.331-07:00</t>
  </si>
  <si>
    <t>beagle_explains_1784574154239_2</t>
  </si>
  <si>
    <t>Title panel: 'Why does time run out before the last five questions?' Panel 2: Beagle stares at a timer on the desk, ears perked forward, pencil frozen mid-problem. Text: 'It happens every single practice test.' Panel 3: Close-up of the timer — 2 minutes left. Beagle's eyes are wide. Text: 'Five questions left. Two minutes left. Heart pounding.' Panel 4: Side profile of Beagle hunched over a particularly tricky problem, erasing furiously. Text: 'One hard question just ate four minutes.' Panel 5: Beagle looks up from the test with a realization — small arrow doodle pointing left toward the earlier questions. Text: 'Hard questions are worth exactly the same as easy ones.' Panel 6: Overhead view — Beagle uses a pencil to lightly circle a hard question and physically move on to the next. Text: 'Skip it. Come back. Never surrender your easy points.' Panel 7: Medium shot — Beagle working steadily through remaining questions, one by one, no panic on face. Small checkmarks beside completed questions on the page. Text: 'Pacing is a skill. And skills can be practiced.' Panel 8: Beagle holds a completed test, every question answered, looking calm and a little proud. Text: 'Ohhhh... I was spending time I didn't have.'</t>
  </si>
  <si>
    <t>Pacing anxiety is universal and visceral, skip-and-return strategy is concrete and teachable, timer visual is strong for the format</t>
  </si>
  <si>
    <t>2026-07-20T12:02:50.334-07:00</t>
  </si>
  <si>
    <t>beagle_explains_1784574154239_3</t>
  </si>
  <si>
    <t>Title panel: 'Why do you keep making the same math mistake... over and over?' Panel 2: Beagle stares at two returned practice tests side by side. Same type of problem circled wrong on both. Deeply confused expression. Text: 'You fixed it. You studied it. And it happened again.' Panel 3: Close-up of Beagle's face — slight embarrassment, one ear folded down, eyes looking sideways. Text: 'It's not carelessness. It's a hidden gap.' Panel 4: Side angle — Beagle at a whiteboard drawing a number line, but skipping negative numbers entirely without realizing it. Text: 'Somewhere back there, a concept never fully landed.' Panel 5: Beagle flips back through a notebook to an older, simpler page about the same topic. Small star doodle near the entry. Text: 'The mistake lives upstream of where you think it does.' Panel 6: Medium shot — Beagle working through one foundational example slowly, tracing each step with a finger. Text: 'Slow down at the root. Speed up at the test.' Panel 7: Close-up of Beagle's paw checking the answer — it's right this time. Small 'yes!' in hand-lettered text near the margin. Text: 'One rebuilt foundation fixes ten different problems.' Panel 8: Beagle grins at the viewer, notebook open to a clean solved page. Text: 'Ohhhh... I wasn't making mistakes. I had a gap.'</t>
  </si>
  <si>
    <t>Hidden gap vs carelessness' reframe is genuinely insightful and non-shaming, upstream concept is fresh and aligns with diagnostic teaching brand</t>
  </si>
  <si>
    <t>2026-07-20T12:02:50.337-07:00</t>
  </si>
  <si>
    <t>beagle_explains_1784574154239_4</t>
  </si>
  <si>
    <t>Title panel: 'Why does your brain go blank the moment the test starts?' Panel 2: Beagle sits down at a test desk, pencil ready, answer sheet in front — and immediately freezes. Eyes go wide. Text: 'Everything you studied... just disappeared.' Panel 3: Close-up of Beagle's face, slightly pale, staring at the first question like it's in another language. Text: 'It wasn't the material. It was the moment.' Panel 4: Side profile — a thought bubble above Beagle's head filled with swirling question marks and a tiny clock ticking loudly. Text: 'Anxiety takes up space your working memory needed.' Panel 5: Beagle sets down the pencil, closes eyes briefly, takes a visible breath. One small doodle of a wave near the nose. Text: 'Three slow breaths actually reroutes your brain.' Panel 6: Beagle opens eyes, looks at the first question again — this time with steady focus. Text: 'Start with what you know. Momentum beats panic every time.' Panel 7: Over-the-shoulder view of Beagle working steadily through questions, a small rhythm building. Text: 'Test conditions practiced at home means less shock on test day.' Panel 8: Beagle exhales and looks at the viewer with calm, quiet confidence. Text: 'Ohhhh... my brain didn't fail me. It was just scared.'</t>
  </si>
  <si>
    <t>Test anxiety is deeply relatable for both students and parents, neurological framing of anxiety occupying working memory is fresh and credible, breathing technique grounds it practically</t>
  </si>
  <si>
    <t>2026-07-20T12:02:50.342-07:00</t>
  </si>
  <si>
    <t>beagle_explains_1784574154239_5</t>
  </si>
  <si>
    <t>Title panel: 'Why does every SAT grammar rule feel made up?' Panel 2: Beagle holds open a grammar workbook, face twisted in skepticism. The page reads 'comma splice.' Text: 'Who decided this was wrong? Why?' Panel 3: Close-up of the workbook page — Beagle's paw underlines two short sentences joined by just a comma. Text: 'It looks fine. It sounds fine. But the SAT says no.' Panel 4: Side angle — Beagle at a whiteboard writing two sentences. An arrow shows them being joined with a semicolon instead. Text: 'The SAT doesn't test how people write. It tests one specific style.' Panel 5: Beagle flips to a fresh page in a spiral notebook titled 'SAT's 8 Grammar Rules' in hand-lettered text. Text: 'There are fewer rules than you think. They just repeat constantly.' Panel 6: Medium shot — Beagle reads a practice sentence aloud, tapping the desk rhythmically to test sentence rhythm. Text: 'You can hear it once you know what to listen for.' Panel 7: Over-the-shoulder view — Beagle moves confidently through a grammar section, circling answers without hesitation. Text: 'Pattern recognition beats memorization every time.' Panel 8: Beagle closes the workbook with a quiet smile, looking at the viewer. Text: 'Ohhhh... the rules aren't random. They're just unfamiliar.'</t>
  </si>
  <si>
    <t>Grammar section is widely dreaded, reframing rules as finite and pattern-based is empowering, '8 rules' hook is concrete and compelling</t>
  </si>
  <si>
    <t>2026-07-20T12:02:50.345-07:00</t>
  </si>
  <si>
    <t>beagle_explains_1784574154239_6</t>
  </si>
  <si>
    <t>Title panel: 'Why does practicing more sometimes make your score go down?' Panel 2: Beagle surrounded by a mountain of finished practice tests, looking completely exhausted and defeated. Text: 'Six tests in two weeks. Score went lower.' Panel 3: Close-up of Beagle's tired, red-rimmed eyes staring at a score report. Text: 'More practice is supposed to mean more improvement. Right?' Panel 4: Side profile — Beagle mechanically filling in answers without looking at explanations, just rushing to finish. Text: 'Practicing mistakes... is practicing mistakes.' Panel 5: Beagle pauses, picks up a red pen, and slowly reviews a wrong answer. Small light bulb doodle floats above. Text: 'One test reviewed deeply beats five tests done blindly.' Panel 6: Medium shot — Beagle writes a single sentence in a notebook: 'Why did I get this wrong?' Underlined twice. Text: 'The review is the actual lesson. The test is just the question.' Panel 7: Beagle sits back with one practice test on the desk, completely focused, not rushing. Text: 'Less volume. More understanding. Watch what happens.' Panel 8: Beagle taps a new score report with one paw, eyebrows raised in pleasant surprise. Text: 'Ohhhh... I was practicing. I just wasn't learning.'</t>
  </si>
  <si>
    <t>Counterintuitive premise earns attention immediately, review-over-volume insight is genuinely underappreciated, directly challenges the grind-harder mentality parents often push</t>
  </si>
  <si>
    <t>2026-07-20T12:02:50.347-07:00</t>
  </si>
  <si>
    <t>beagle_explains_1784574154239_9</t>
  </si>
  <si>
    <t>Title panel: 'Why does the SAT feel different from every test you take at school?' Panel 2: Beagle walks into a test center carrying a school backpack, looking confident — same feeling as before a regular exam. Text: 'You know how to take tests. You do it all the time.' Panel 3: Close-up of Beagle's face reading the first SAT question — confidence slowly draining. Text: 'But this one asks questions differently.' Panel 4: Side profile — Beagle looks at a school exam (straightforward question) and then at an SAT question (same concept, wrapped in a long story problem). Text: 'School tests what you know. The SAT tests how you think.' Panel 5: Beagle at a whiteboard breaks down an SAT word problem — circling only the numbers that matter, crossing out the rest. Text: 'Half the skill is ignoring what they want you to overthink.' Panel 6: Medium shot — Beagle practices with a real SAT booklet, not a school worksheet. Text: 'You have to practice the actual game, not a different game.' Panel 7: Over-the-shoulder shot — Beagle annotating an SAT reading passage with arrows and circles, looking calm and in control. Text: 'Familiarity is not the same as preparation. Familiarity with the SAT is.' Panel 8: Beagle sets down the pencil, test complete, and nods slowly at the viewer. Text: 'Ohhhh... I was preparing for the wrong test.'</t>
  </si>
  <si>
    <t>School-test vs SAT-test distinction is a genuine insight parents and students miss, 'practicing the wrong game' framing is fresh and actionable, strong closer for the series</t>
  </si>
  <si>
    <t>2026-07-20T12:02:50.350-07:00</t>
  </si>
  <si>
    <t>image_preview</t>
  </si>
  <si>
    <t>refinement_notes</t>
  </si>
  <si>
    <t>resume_url</t>
  </si>
  <si>
    <t>https://cliffsuperset.app.n8n.cloud/webhook-waiting/1901?signature=3346b6b0013ca1e58c30d77436dc0bb8a4b42f20d9aff72ebfc5d141a1d07bcc</t>
  </si>
  <si>
    <t>{"model":"gpt-image-2-image-to-image","callBackUrl":"https://cliffsuperset.app.n8n.cloud/webhook-waiting/1901?signature=3346b6b0013ca1e58c30d77436dc0bb8a4b42f20d9aff72ebfc5d141a1d07bcc","input":{"prompt":"##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'TAKE IT MORE TIMES AND YOUR SCORE WILL GO UP'. Large hand-drawn orange 'X' crossing out the statement. The X is the only intentionally rough/imperfect element.\n### Main Illustration\nA teenage girl with long dark hair in a ponytail, wearing a navy hoodie, sits at a school desk. She is taking a written exam. Around her on the floor are three identical crumpled test papers, all marked with the same low score circled in red. She holds a fourth identical exam, pencil in hand, with the exact same frustrated, tired expression — eyes slightly glazed, posture slumped. The visual metaphor: she keeps running the same race with the same shoes and wondering why her time never improves. The repeated failed tests on the floor make it immediately obvious that repetition alone is not the answer. Cream off-white background. Dark navy blue desk and text elements. Warm beige paper tones. Orange limited strictly to the MYTH tag and the hand-drawn X in the header.\n###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it.\n\nReference the provided style image to maintain visual consistency in palette, illustration style, and layout.","input_urls":["https://tempfile.redpandaai.co/kieai/11402406/athena-refs/style_ref.jpg"],"aspect_ratio":"4:5"}}</t>
  </si>
  <si>
    <t>fail</t>
  </si>
  <si>
    <t>Generation Failed (callback_flag: no callback / timeout)</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</si>
  <si>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crossing out wrong answers works better than finding the right one.\" The Beagle sits upright at a desk in a medium shot, staring at an SAT practice test with a mildly overwhelmed expression, pencil in paw. Panel 2: Close-up on the Beagle's face, head tilted, brow furrowed. Text reads: \"I stared at all 4 answers...\" A small hand-drawn question mark floats above the Beagle's head in purple. Panel 3: Side profile shot. The Beagle is hunched over the test, eyes darting between choices. Text reads: \"They all kind of... looked right?\" Purple doodle of four small arrows pointing in different directions. Panel 4: Medium shot, overhead desk view. The Beagle holds the pencil up mid-air, frozen. Text reads: \"So I just... guessed.\" A small purple X doodle near the answer bubble. Panel 5: Eye-level shot. The Beagle looks directly at the viewer with a soft, curious expression. Text reads: \"But here's the thing about SAT questions...\" A purple underline beneath \"SAT questions.\" Panel 6: Over-the-shoulder shot showing the Beagle crossing out two answer choices with confident pencil strokes. Text reads: \"Two answers are always obviously wrong.\" Purple X marks drawn through the eliminated choices, hand-drawn style. Panel 7: Medium shot, the Beagle sitting back with a small proud smile, pencil resting on the desk. Text reads: \"Now I only have to decide between TWO.\" Purple emphasis and underline on \"TWO.\" Panel 8 (Aha moment): Close-up on the Beagle's face, eyes wide and bright, a tiny smile forming. Text reads: \"Ohhhh... that's the whole game.\" A hand-drawn purple light bulb glows gently above the Beagle's head. Warm soft studio lighting throughout. Consistent cream and white palette. Realistic painterly Beagle illustration across all panels.\n\nReference the provided style image to maintain visual consistency in palette, illustration style, and layout.","input_urls":["https://tempfile.redpandaai.co/kieai/11402406/athena-refs/style_ref.jpg"],"aspect_ratio":"4:5"}}</t>
  </si>
  <si>
    <t>Generation Failed (polls: 20, status: unknown)</t>
  </si>
  <si>
    <t>6b716cae17eb7ef807f571e80c60abc0</t>
  </si>
  <si>
    <t>unknown</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</si>
  <si>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re-reading the question — not the passage — is the secret move in SAT Reading.\" The Beagle sits at a desk in a medium shot, staring at a dense SAT reading passage with a tired, glazed expression. A desk lamp casts warm light across the page. Panel 2: Close-up on the Beagle's drooping eyes scanning lines of text on a practice test. Text reads: \"I read the whole passage.\" A small hand-drawn purple clock doodle in the corner suggesting time passing. Panel 3: Side profile shot. The Beagle flips back through pages, paw tracing text frantically. Text reads: \"Then re-read it trying to find the answer.\" Purple squiggly lines under \"re-read\" suggesting stress. Panel 4: Overhead desk view. The Beagle is slumped forward, chin resting on the desk, eyes barely open. Text reads: \"I ran out of time. Again.\" A small hand-drawn purple hourglass doodle near the corner. Panel 5: Eye-level shot. The Beagle sits up, looking curiously at the viewer, one ear slightly raised. Text reads: \"Here's what no one tells you...\" Purple ellipsis dots trail off with a subtle hand-drawn doodle. Panel 6: Medium shot, the Beagle holding a pencil and pointing directly at the question text on the page — not the passage. Text reads: \"The question tells you exactly where to look.\" Purple arrow drawn pointing down toward the question with emphasis. Panel 7: Over-the-shoulder shot showing the Beagle circling a specific line in the passage confidently, with a small satisfied expression. Text reads: \"Read the question first. Then go find it.\" Purple underline beneath \"Read the question first.\" Panel 8 (Aha moment): Close-up on the Beagle's face, bright wide eyes, a warm relieved smile. Text reads: \"Ohhhh... I was reading everything except the right thing.\" A hand-drawn purple light bulb and small star burst appear beside the Beagle's head. Warm soft studio lighting throughout. Consistent cream and white palette. Realistic painterly Beagle illustration across all panels.\n\nReference the provided style image to maintain visual consistency in palette, illustration style, and layout.","input_urls":["https://tempfile.redpandaai.co/kieai/11402406/athena-refs/style_ref.jpg"],"aspect_ratio":"4:5"}}</t>
  </si>
  <si>
    <t>6c99745a22f696be02664f28b280ff60</t>
  </si>
  <si>
    <t>beagle_explains_000</t>
  </si>
  <si>
    <t>https://drive.google.com/uc?id=1BkQJtqDOaHaAw-pubyYnlGBDQnf4_eAz</t>
  </si>
  <si>
    <t>Posted</t>
  </si>
  <si>
    <t>https://tempfile.aiquickdraw.com/images/chatgpt/file_00000000681c722f89f9b076775880eb.png</t>
  </si>
  <si>
    <t>5699248908fbcc8705240d14a53b256d</t>
  </si>
  <si>
    <t>1BkQJtqDOaHaAw-pubyYnlGBDQnf4_eAz</t>
  </si>
  <si>
    <t>https://drive.google.com/uc?id=1T00PbEsncvm7Ib3hwRopTsTVAoE28IeH</t>
  </si>
  <si>
    <t>https://tempfile.aiquickdraw.com/images/chatgpt/file_00000000d8a8720c87478f972b58ae3e.png</t>
  </si>
  <si>
    <t>a649d11b42bb6c3d79d93dc18d444fd2</t>
  </si>
  <si>
    <t>1T00PbEsncvm7Ib3hwRopTsTVAoE28IeH</t>
  </si>
  <si>
    <t>Post</t>
  </si>
  <si>
    <t>https://drive.google.com/uc?id=1RoYL0-FdR0okT1CV-_ZE3797vGqHqETV</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</si>
  <si>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there.'\n\nReference the provided style image to maintain visual consistency in palette, illustration style, and layout.","input_urls":["https://tempfile.redpandaai.co/kieai/11402406/athena-refs/style_ref.jpg"],"aspect_ratio":"4:5"}}</t>
  </si>
  <si>
    <t>https://tempfile.aiquickdraw.com/images/chatgpt/file_00000000b6ac720cb74ea8a8b8c35ec5.png</t>
  </si>
  <si>
    <t>6e3e2ec98a2867543b3ca544d30a6293</t>
  </si>
  <si>
    <t>1RoYL0-FdR0okT1CV-_ZE3797vGqHqETV</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</si>
  <si>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
Reference the provided style image to maintain visual consistency in palette, illustration style, and layout.</t>
  </si>
  <si>
    <t>2026-07-15T13:11:24.323-07:00</t>
  </si>
  <si>
    <t>Myth statement: 'START PREP JUNIOR YEAR — THERE'S PLENTY OF TIME'
Visual scene: The girl stands in front of a calendar on the wall. It's clearly the start of junior year — September. She's circling a test date with a marker. But as the eye travels across the calendar, the months collapse rapidly: college visit weekends are blocked off, midterms fill November, winter break shrinks the December weeks, spring sports consume March. By the time the eye reaches the test date, almost every week between now and then is already claimed by something else. The calendar tells the real story — there is far less open time than the myth implies.
Insight line (bottom of poster): 'Junior year looks wide open — until it isn't. The calendar fills faster than the score improves.'</t>
  </si>
  <si>
    <t>https://drive.google.com/uc?id=1DQNDikY-cOUTJaeYnxxtmz9FstChiWoM</t>
  </si>
  <si>
    <t>2026-07-15T14:20:49.659-07:00</t>
  </si>
  <si>
    <t>The collapsing calendar is an excellent single-image device. Parents will feel this viscerally. Avoids cliché by showing the time being consumed by legitimate life rather than laziness — more honest and more persuasive.</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</si>
  <si>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'START PREP JUNIOR YEAR — THERE'S PLENTY OF TIME'\n\nVisual scene: The girl stands in front of a calendar on the wall. It's clearly the start of junior year — September. She's circling a test date with a marker. But as the eye travels across the calendar, the months collapse rapidly: college visit weekends are blocked off, midterms fill November, winter break shrinks the December weeks, spring sports consume March. By the time the eye reaches the test date, almost every week between now and then is already claimed by something else. The calendar tells the real story — there is far less open time than the myth implies.\n\nInsight line (bottom of poster): 'Junior year looks wide open — until it isn't. The calendar fills faster than the score improves.'\n\nReference the provided style image to maintain visual consistency in palette, illustration style, and layout.","input_urls":["https://tempfile.redpandaai.co/kieai/11402406/athena-refs/style_ref.jpg"],"aspect_ratio":"4:5"}}</t>
  </si>
  <si>
    <t>https://tempfile.aiquickdraw.com/images/chatgpt/1a9c6a2971c3565b26237cea5fc5b279_3d1f1f37957b4b1ca175b44b7b7a9e0a.png</t>
  </si>
  <si>
    <t>1a9c6a2971c3565b26237cea5fc5b279</t>
  </si>
  <si>
    <t>1DQNDikY-cOUTJaeYnxxtmz9FstChiWoM</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</si>
  <si>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'START PREP JUNIOR YEAR — THERE'S PLENTY OF TIME'
Visual scene: The girl stands in front of a calendar on the wall. It's clearly the start of junior year — September. She's circling a test date with a marker. But as the eye travels across the calendar, the months collapse rapidly: college visit weekends are blocked off, midterms fill November, winter break shrinks the December weeks, spring sports consume March. By the time the eye reaches the test date, almost every week between now and then is already claimed by something else. The calendar tells the real story — there is far less open time than the myth implies.
Insight line (bottom of poster): 'Junior year looks wide open — until it isn't. The calendar fills faster than the score improves.'
Reference the provided style image to maintain visual consistency in palette, illustration style, and layout.</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</si>
  <si>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word problem reads — 'A store marks up a jacket by 40%, then puts it on sale for 20% off. Is the final price higher, lower, or the same as the original?' Three answer options are shown: (A) Higher, (B) Lower, (C) Same. A dashed line below with a large orange question mark. Answer: (B) Lower — but only by 12%, not 20%. Most people instinctively cancel out the two percentages and pick (C). The green oval reads: 'Classic SAT trap.' The Beagle has dollar-sign doodles floating around its head in the thought bubble.\n\nReference the provided style image to maintain visual consistency in palette, illustration style, and layout.","input_urls":["https://tempfile.redpandaai.co/kieai/11402406/athena-refs/style_ref.jpg"],"aspect_ratio":"4:5"}}</t>
  </si>
  <si>
    <t>Generation Failed (polls: 20, status: fail)</t>
  </si>
  <si>
    <t>5beed15c4e8275b2eac08a696d27b72c</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</si>
  <si>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word problem reads — 'A store marks up a jacket by 40%, then puts it on sale for 20% off. Is the final price higher, lower, or the same as the original?' Three answer options are shown: (A) Higher, (B) Lower, (C) Same. A dashed line below with a large orange question mark. Answer: (B) Lower — but only by 12%, not 20%. Most people instinctively cancel out the two percentages and pick (C). The green oval reads: 'Classic SAT trap.' The Beagle has dollar-sign doodles floating around its head in the thought bubble.
Reference the provided style image to maintain visual consistency in palette, illustration style, and layout.</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</si>
  <si>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The Hard Question'\n\nPanel 1 (Setup): Beagle flips through his test, eyes scanning confidently. He hits a question and freezes. Close-up on the question number at the top: it is circled with a tiny star he drew himself. His expression: respect.\n\nPanel 2 (Escalation): He reads it once. Twice. Tilts his head 45 degrees. One ear up, one ear down. He writes a number. Crosses it out. Writes another number. Circles it tentatively.\n\nPanel 3 (Hiccup): Beagle has now filled the margin with scratch work. Equations going in four different directions. One equation has been crossed out so hard the pencil nearly went through the paper. His eraser is now a nub.\n\nPanel 4 (Pivot): Athena glances at the problem from over his shoulder. She points to the very first line and asks: 'WHAT IS IT ASKING FOR?'\n\nPanel 5 (Beat): Beagle reads the question stem again. Just the question stem. His pencil stops moving. He sits up very straight. Looks at all his margin work. Looks back at the question. Very long pause.\n\nPanel 6 (Punchline): Beagle has written a clean, short answer in the bubble. He is staring at it. The entire margin of scratch work sits unused above. Small text near his ear: '...i solved for the wrong variable. for six minutes.'\n\nReference the provided style image to maintain visual consistency in palette, illustration style, and layout.","input_urls":["https://tempfile.redpandaai.co/kieai/11402406/athena-refs/style_ref.jpg"],"aspect_ratio":"4:5"}}</t>
  </si>
  <si>
    <t>9c8989d1e41c87a1f46e406d20b7cda3</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</si>
  <si>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The Hard Question'
Panel 1 (Setup): Beagle flips through his test, eyes scanning confidently. He hits a question and freezes. Close-up on the question number at the top: it is circled with a tiny star he drew himself. His expression: respect.
Panel 2 (Escalation): He reads it once. Twice. Tilts his head 45 degrees. One ear up, one ear down. He writes a number. Crosses it out. Writes another number. Circles it tentatively.
Panel 3 (Hiccup): Beagle has now filled the margin with scratch work. Equations going in four different directions. One equation has been crossed out so hard the pencil nearly went through the paper. His eraser is now a nub.
Panel 4 (Pivot): Athena glances at the problem from over his shoulder. She points to the very first line and asks: 'WHAT IS IT ASKING FOR?'
Panel 5 (Beat): Beagle reads the question stem again. Just the question stem. His pencil stops moving. He sits up very straight. Looks at all his margin work. Looks back at the question. Very long pause.
Panel 6 (Punchline): Beagle has written a clean, short answer in the bubble. He is staring at it. The entire margin of scratch work sits unused above. Small text near his ear: '...i solved for the wrong variable. for six minutes.'
Reference the provided style image to maintain visual consistency in palette, illustration style, and layout.</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</si>
  <si>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post.\n\nSPECIFIC CONTENT FOR THIS IMAGE:\nDear parents,\n\nShe took the test in October.\nAnd again in December.\nAnd she's registered for March.\n\nSame prep routine each time.\n\nSame books.\nSame practice tests.\nSame score, give or take.\n\nDoing the same thing and expecting a different result\nhas a name.\n\nAnd it isn't a strategy.\n\n— Athena\n\nReference the provided style image to maintain visual consistency in palette, illustration style, and layout.","input_urls":["https://tempfile.redpandaai.co/kieai/11402406/athena-refs/style_ref.jpg"],"aspect_ratio":"4:5"}}</t>
  </si>
  <si>
    <t>Generation Failed (polls: 20, status: generating)</t>
  </si>
  <si>
    <t>9eb84667d75cb2d4ed6f30900cc936f6</t>
  </si>
  <si>
    <t>generating</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</si>
  <si>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SPECIFIC CONTENT FOR THIS IMAGE:
Dear parents,
She took the test in October.
And again in December.
And she's registered for March.
Same prep routine each time.
Same books.
Same practice tests.
Same score, give or take.
Doing the same thing and expecting a different result
has a name.
And it isn't a strategy.
— Athena
Reference the provided style image to maintain visual consistency in palette, illustration style, and layout.</t>
  </si>
  <si>
    <t>2026-07-16T10:17:38.996-07:00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</si>
  <si>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grammar feel impossible on the SAT?'\n\nPanel 1 — The Beagle stares at a writing-section question. He whispers the sentence out loud. It sounds fine to him. He picks the 'sounds right' answer. Text: 'Your ear is lying to you.'\n\nPanel 2 — Close-up. The answer he chose is marked wrong. The correct version sounds almost identical when spoken aloud. His mouth is slightly open in disbelief. Text: 'The SAT grammar section is not about how English sounds.'\n\nPanel 3 — Side profile. The Beagle holds a short list on a sticky note: 'subject-verb agreement, comma splices, misplaced modifiers.' Text: 'It tests about twelve grammar rules. The same ones. Every single time.'\n\nPanel 4 — Medium shot. The Beagle looks at a sentence and draws a line through every phrase between the subject and verb, circling just those two words. Text: 'Strip the sentence down. Find the subject. Find the verb. Do they match?'\n\nPanel 5 — Over-the-shoulder shot. He identifies a misplaced modifier. A small arrow doodle connects the modifier to what it is incorrectly describing. He crosses it out and rewrites mentally. Text: 'Once you know the rules, wrong answers feel obviously wrong.'\n\nPanel 6 — The Beagle leans back with a satisfied exhale, pencil resting across his paw. A small lightbulb glows softly near his head. Text: 'Grammar is not talent. It is pattern recognition.'\n\nPanel 7 — Final panel. The Beagle looks at the viewer, head slightly tilted, expression warm and direct. Text: 'Learn the twelve rules. Then the writing section becomes a scavenger hunt.'\n\nReference the provided style image to maintain visual consistency in palette, illustration style, and layout.","input_urls":["https://tempfile.redpandaai.co/kieai/11402406/athena-refs/style_ref.jpg"],"aspect_ratio":"4:5"}}</t>
  </si>
  <si>
    <t>5f9d1be662c7127728a837dfd769b956</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</si>
  <si>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grammar feel impossible on the SAT?'
Panel 1 — The Beagle stares at a writing-section question. He whispers the sentence out loud. It sounds fine to him. He picks the 'sounds right' answer. Text: 'Your ear is lying to you.'
Panel 2 — Close-up. The answer he chose is marked wrong. The correct version sounds almost identical when spoken aloud. His mouth is slightly open in disbelief. Text: 'The SAT grammar section is not about how English sounds.'
Panel 3 — Side profile. The Beagle holds a short list on a sticky note: 'subject-verb agreement, comma splices, misplaced modifiers.' Text: 'It tests about twelve grammar rules. The same ones. Every single time.'
Panel 4 — Medium shot. The Beagle looks at a sentence and draws a line through every phrase between the subject and verb, circling just those two words. Text: 'Strip the sentence down. Find the subject. Find the verb. Do they match?'
Panel 5 — Over-the-shoulder shot. He identifies a misplaced modifier. A small arrow doodle connects the modifier to what it is incorrectly describing. He crosses it out and rewrites mentally. Text: 'Once you know the rules, wrong answers feel obviously wrong.'
Panel 6 — The Beagle leans back with a satisfied exhale, pencil resting across his paw. A small lightbulb glows softly near his head. Text: 'Grammar is not talent. It is pattern recognition.'
Panel 7 — Final panel. The Beagle looks at the viewer, head slightly tilted, expression warm and direct. Text: 'Learn the twelve rules. Then the writing section becomes a scavenger hunt.'
Reference the provided style image to maintain visual consistency in palette, illustration style, and layout.</t>
  </si>
  <si>
    <t>{"model":"gpt-image-2-image-to-image","input":{"prompt":"##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Large hand-drawn orange \"X\" crossing out the statement. The X is the only intentionally rough/imperfect element.\n### Main Illustration\nOne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it.\n\nSPECIFIC CONTENT FOR THIS IMAGE:\nMyth statement: 'JUNIOR YEAR IS TOO LATE TO START PREP'\n\nVisual scene: A race track. Other runners are far ahead — tiny figures in the distance. The girl has just stepped onto the track in her lane, lacing up one shoe, looking at the distance with a calm, measured expression — not panicked, not defeated. The track ahead of her is clearly shorter than the full course the others ran. A small chalkboard sign on her lane reads 'Targeted route.' The implication is clear: she doesn't need to run the whole race — just the right portion, efficiently. Her posture is one of focused readiness, not despair.\n\nInsight line: 'Junior year is not too late. Unfocused prep for two years loses to six focused months every time.'\n\nReference the provided style image to maintain visual consistency in palette, illustration style, and layout.","input_urls":["https://tempfile.redpandaai.co/kieai/11402406/athena-refs/style_ref.jpg"],"aspect_ratio":"4:5"}}</t>
  </si>
  <si>
    <t>Generation Failed (polls: 17, status: fail)</t>
  </si>
  <si>
    <t>3837124db4a93c680569834c6ba76d68</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</si>
  <si>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
SPECIFIC CONTENT FOR THIS IMAGE:
Myth statement: 'JUNIOR YEAR IS TOO LATE TO START PREP'
Visual scene: A race track. Other runners are far ahead — tiny figures in the distance. The girl has just stepped onto the track in her lane, lacing up one shoe, looking at the distance with a calm, measured expression — not panicked, not defeated. The track ahead of her is clearly shorter than the full course the others ran. A small chalkboard sign on her lane reads 'Targeted route.' The implication is clear: she doesn't need to run the whole race — just the right portion, efficiently. Her posture is one of focused readiness, not despair.
Insight line: 'Junior year is not too late. Unfocused prep for two years loses to six focused months every time.'
Reference the provided style image to maintain visual consistency in palette, illustration style, and layout.</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</si>
  <si>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A single bold sentence in the center board reads: 'A car travels 60 miles in 1.5 hours. At the same speed, how many minutes does it take to travel 10 miles?' Answer is 15 minutes (speed = 40 mph, so 10 miles takes 0.25 hours = 15 minutes). The number 10 and the word 'minutes' are underlined in orange for emphasis. Bottom oval reads: 'Think carefully — units matter.' The Beagle has a tiny toy car next to it and looks mid-calculation.\n\nReference the provided style image to maintain visual consistency in palette, illustration style, and layout.","input_urls":["https://tempfile.redpandaai.co/kieai/11402406/athena-refs/style_ref.jpg"],"aspect_ratio":"4:5"}}</t>
  </si>
  <si>
    <t>Generation Failed (polls: 16, status: fail)</t>
  </si>
  <si>
    <t>2d46fe0161dc1f8b5a272260b90f81c6</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</si>
  <si>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A single bold sentence in the center board reads: 'A car travels 60 miles in 1.5 hours. At the same speed, how many minutes does it take to travel 10 miles?' Answer is 15 minutes (speed = 40 mph, so 10 miles takes 0.25 hours = 15 minutes). The number 10 and the word 'minutes' are underlined in orange for emphasis. Bottom oval reads: 'Think carefully — units matter.' The Beagle has a tiny toy car next to it and looks mid-calculation.
Reference the provided style image to maintain visual consistency in palette, illustration style, and layout.</t>
  </si>
  <si>
    <t>{"model":"gpt-image-2-image-to-image","input":{"prompt":"## ATHENA BRAIN CHALLENGE SERIES\nVertical puzzle poster (9:16). Hand-drawn doodle style on warm cream textured background. Thick black outlines, flat vibrant colors, playful educational feel. Designed for Instagram saves and comments — engagement bait that feels like a gift, not a trap.\n### Header Hierarchy\n\"BRAIN\" in very large bold black hand-drawn capital letters. Below it, \"CHALLENGE\" in even larger bold orange hand-drawn capital letters with a subtle white outline. Below that, a black brushstroke banner with white text \"ONLY 5% SOLVE THIS\" — the \"5%\" in orange.\n### Center Board\nLarge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clever.\n### Bottom Section\nGreen oval shape with rounded black instruction text: \"Think carefully.\" / \"Find the pattern.\" / \"Can you solve it?\" / \"Classic SAT trap.\" One line only. Friendly, encouraging, hinting without giving it away.\n### Surrounding Doodles\nYellow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puzzle.\n### Color Palette\nWarm beige/cream background. Bold black line art and text. Muted orange for \"CHALLENGE\" text and accent elements. Green for notebook and Beagle's collar. Yellow for lightbulb and stars. Pink for brain character. Thick black outlines throughout. Flat colors, minimal shading.\n### Tone\nPlayful and smart. It's a teacher who made a fun worksheet, not a brand running a contest. The puzzles should feel like a treat — a quick mental break that makes you feel good for trying, not bad for missing. The Beagle and brain character add warmth without distracting from the puzzle.\n### What to Avoid\nNo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post.\n\nSPECIFIC CONTENT FOR THIS IMAGE:\nPuzzle: The center board reads: 'The average of five numbers is 14. Four of the numbers are 10, 12, 16, and 18. What is the fifth number?' Answer: Total must be 70 (5 × 14). Sum of four numbers = 56. Fifth number = 14. The equation 5 × 14 = 70 is shown as a faint hint line below the dashes. Bottom oval reads: 'Think carefully.' The Beagle has five dog treats laid out in front of it, counting on its paw.\n\nReference the provided style image to maintain visual consistency in palette, illustration style, and layout.","input_urls":["https://tempfile.redpandaai.co/kieai/11402406/athena-refs/style_ref.jpg"],"aspect_ratio":"4:5"}}</t>
  </si>
  <si>
    <t>Generation Failed (polls: 1, status: fail)</t>
  </si>
  <si>
    <t>6919653a1509689937f84bd155c8c887</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</si>
  <si>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FOR THIS IMAGE:
Puzzle: The center board reads: 'The average of five numbers is 14. Four of the numbers are 10, 12, 16, and 18. What is the fifth number?' Answer: Total must be 70 (5 × 14). Sum of four numbers = 56. Fifth number = 14. The equation 5 × 14 = 70 is shown as a faint hint line below the dashes. Bottom oval reads: 'Think carefully.' The Beagle has five dog treats laid out in front of it, counting on its paw.
Reference the provided style image to maintain visual consistency in palette, illustration style, and layout.</t>
  </si>
  <si>
    <t>{"model":"gpt-image-2-image-to-image","input":{"prompt":"ATHENA COMIC SERIES\nVertical social media comic strip (9:16). Expressive ink-and-wash style on warm off-white textured paper. 6 panels per strip. Title banner at top: \"SAT LOGIC\" in large dark blue hand-drawn letters. Hand-drawn black panel borders that feel slightly organic — not rigid rectangles.\nMain Character: The Beagle\nOrange and white fur. Floppy brown ears. Highly expressive brown eyes — the emotional engine of every strip. Green collar with tiny gold \"A\" tag. He's the student stand-in: struggles, celebrates, panics, has small realizations. Never the authority figure.\nSupporting Character: Athena\nCalm adult woman. Warm, patient expression. Simple clothing — no lab coat, no whiteboard. Appears in 1-2 panels, usually as the pivot. Never lectures. Asks the one short question that flips perspective. Always the same visual appearance — locked.\nColor Palette\nOff-white paper background. Dark navy blue for titles and borders. Muted orange for Beagle's fur and accent elements. Black for line art and dialogue. Warm beige for furniture. Only these four colors. No purple, no neon, no gradients.\nPanel Structure\n\nSetup — Beagle doing something confidently\nEscalation — energy builds or first sign of trouble\nHiccup — something goes wrong\nPivot — Athena enters or asks The Question\nBeat — silence, processing\nPunchline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on-panel.\n\nSPECIFIC CONTENT FOR THIS IMAGE:\nTitle banner: 'SAT LOGIC — Vocab in Context'\n\nPanel 1 (Setup): Beagle spots the word 'CONTENTIOUS' in a passage. He points at it with authority. Dialogue: 'I KNOW THIS WORD. IT MEANS CONTENT. LIKE, HAPPY.'\n\nPanel 2 (Escalation): He confidently selects the answer choice with 'PLEASED' in it. Circles it with a flourish. Leans back in chair satisfied.\n\nPanel 3 (Hiccup): He reads the sentence again. The context is clearly about a heated argument. His ears flatten. Dialogue: 'WAIT. NOBODY IN THIS PASSAGE SEEMS HAPPY.'\n\nPanel 4 (Pivot): Athena taps the sentence around the word — not the word itself. She asks: 'WHAT'S HAPPENING IN THE SENTENCE?'\n\nPanel 5 (Beat): Beagle re-reads the full sentence. Paw on chin. Something shifts. He erases his answer slowly.\n\nPanel 6 (Punchline): He circles 'DISPUTED.' Expression is a quiet, slightly embarrassed nod. Small dialogue: '...the word was wearing a disguise.'\n\nReference the provided style image to maintain visual consistency in palette, illustration style, and layout.","input_urls":["https://tempfile.redpandaai.co/kieai/11402406/athena-refs/style_ref.jpg"],"aspect_ratio":"4:5"}}</t>
  </si>
  <si>
    <t>d5f07e5e9b06c8b1775c368be9779e83</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</si>
  <si>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
SPECIFIC CONTENT FOR THIS IMAGE:
Title banner: 'SAT LOGIC — Vocab in Context'
Panel 1 (Setup): Beagle spots the word 'CONTENTIOUS' in a passage. He points at it with authority. Dialogue: 'I KNOW THIS WORD. IT MEANS CONTENT. LIKE, HAPPY.'
Panel 2 (Escalation): He confidently selects the answer choice with 'PLEASED' in it. Circles it with a flourish. Leans back in chair satisfied.
Panel 3 (Hiccup): He reads the sentence again. The context is clearly about a heated argument. His ears flatten. Dialogue: 'WAIT. NOBODY IN THIS PASSAGE SEEMS HAPPY.'
Panel 4 (Pivot): Athena taps the sentence around the word — not the word itself. She asks: 'WHAT'S HAPPENING IN THE SENTENCE?'
Panel 5 (Beat): Beagle re-reads the full sentence. Paw on chin. Something shifts. He erases his answer slowly.
Panel 6 (Punchline): He circles 'DISPUTED.' Expression is a quiet, slightly embarrassed nod. Small dialogue: '...the word was wearing a disguise.'
Reference the provided style image to maintain visual consistency in palette, illustration style, and layout.</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</si>
  <si>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parents,\n\nYour kid knows the material.\n\nThey explained it to you at dinner.\n\nBut on the test, they froze.\n\nThat's not a knowledge problem.\n\nThat's a confidence problem disguised as one.\n\nAnd no amount of extra practice problems fixes that.\n\nThe score doesn't measure what they know.\n\nIt measures what they can access under pressure.\n\nThose are two very different things.\n\n— Athena\n\nReference the provided style image to maintain visual consistency in palette, illustration style, and layout.","input_urls":["https://tempfile.redpandaai.co/kieai/11402406/athena-refs/style_ref.jpg"],"aspect_ratio":"4:5"}}</t>
  </si>
  <si>
    <t>21b51cfd2538d42ddcd9b432b064fdef</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</si>
  <si>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Your kid knows the material.
They explained it to you at dinner.
But on the test, they froze.
That's not a knowledge problem.
That's a confidence problem disguised as one.
And no amount of extra practice problems fixes that.
The score doesn't measure what they know.
It measures what they can access under pressure.
Those are two very different things.
— Athena
Reference the provided style image to maintain visual consistency in palette, illustration style, and layout.</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</si>
  <si>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2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finish.\n\nSPECIFIC CONTENT FOR THIS IMAGE:\nDear parents,\n\nYour kid isn't lazy.\nThey just don't know where to start.\n\nThere's a difference — and it changes everything about how you help them.\n\n— Athena\n\nReference the provided style image to maintain visual consistency in palette, illustration style, and layout.","input_urls":["https://tempfile.redpandaai.co/kieai/11402406/athena-refs/style_ref.jpg"],"aspect_ratio":"4:5"}}</t>
  </si>
  <si>
    <t>Generation Failed (polls: 2, status: fail)</t>
  </si>
  <si>
    <t>dc26f6d3457e0c0388c7ef810c219e30</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</si>
  <si>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2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No more than 4 total lines, start to finish.
SPECIFIC CONTENT FOR THIS IMAGE:
Dear parents,
Your kid isn't lazy.
They just don't know where to start.
There's a difference — and it changes everything about how you help them.
— Athena
Reference the provided style image to maintain visual consistency in palette, illustration style, and layout.</t>
  </si>
  <si>
    <t>Kie (GPT Image 2)</t>
  </si>
  <si>
    <t>Claude Prompts</t>
  </si>
  <si>
    <t>Buffer</t>
  </si>
  <si>
    <t>Totals</t>
  </si>
  <si>
    <t>config:</t>
  </si>
  <si>
    <t>Cost Per Single Gen</t>
  </si>
  <si>
    <t>images per post</t>
  </si>
  <si>
    <t>Cost Per Campaign Per Week</t>
  </si>
  <si>
    <t xml:space="preserve"># of campaigns </t>
  </si>
  <si>
    <t>Total Cost Per Week</t>
  </si>
  <si>
    <t>posts per week</t>
  </si>
  <si>
    <t>Total Cost Per Month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</si>
</sst>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color theme="1"/>
      <name val="Arial"/>
      <scheme val="minor"/>
    </font>
    <font>
      <u/>
      <color rgb="FF0000FF"/>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xf quotePrefix="1" borderId="0" fillId="0" fontId="1" numFmtId="0" xfId="0" applyAlignment="1" applyFont="1">
      <alignment readingOrder="0"/>
    </xf>
    <xf borderId="0" fillId="0" fontId="3" numFmtId="0" xfId="0" applyFont="1"/>
    <xf borderId="0" fillId="0" fontId="1" numFmtId="164" xfId="0" applyAlignment="1" applyFont="1" applyNumberForma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a1irmvxv/image/upload/f_auto,q_auto/hf_20260630_002349_744b79a7-84f6-4760-9bb8-95a9d0e040e3_1_jnwc44" TargetMode="External"/><Relationship Id="rId2" Type="http://schemas.openxmlformats.org/officeDocument/2006/relationships/hyperlink" Target="https://res.cloudinary.com/a1irmvxv/image/upload/f_auto,q_auto/hf_20260630_002349_744b79a7-84f6-4760-9bb8-95a9d0e040e3_1_jnwc44" TargetMode="External"/><Relationship Id="rId3" Type="http://schemas.openxmlformats.org/officeDocument/2006/relationships/hyperlink" Target="https://res.cloudinary.com/a1irmvxv/image/upload/f_auto,q_auto/hf_20260630_003148_8cdf9166-5c23-4c3d-8c7f-cf7f872a39ce_xgls2u" TargetMode="External"/><Relationship Id="rId4" Type="http://schemas.openxmlformats.org/officeDocument/2006/relationships/hyperlink" Target="https://res.cloudinary.com/a1irmvxv/image/upload/f_auto,q_auto/hf_20260630_003148_8cdf9166-5c23-4c3d-8c7f-cf7f872a39ce_xgls2u" TargetMode="External"/><Relationship Id="rId11" Type="http://schemas.openxmlformats.org/officeDocument/2006/relationships/drawing" Target="../drawings/drawing1.xml"/><Relationship Id="rId10" Type="http://schemas.openxmlformats.org/officeDocument/2006/relationships/hyperlink" Target="https://res.cloudinary.com/a1irmvxv/image/upload/f_auto,q_auto/ChatGPT_Image_Jul_13_2026_02_32_35_PM_wx14ep" TargetMode="External"/><Relationship Id="rId9" Type="http://schemas.openxmlformats.org/officeDocument/2006/relationships/hyperlink" Target="https://res.cloudinary.com/a1irmvxv/image/upload/f_auto,q_auto/ChatGPT_Image_Jul_13_2026_02_32_35_PM_wx14ep" TargetMode="External"/><Relationship Id="rId5" Type="http://schemas.openxmlformats.org/officeDocument/2006/relationships/hyperlink" Target="https://res.cloudinary.com/a1irmvxv/image/upload/f_auto,q_auto/ChatGPT_Image_Jun_24_2026_02_26_06_PM_x1isth" TargetMode="External"/><Relationship Id="rId6" Type="http://schemas.openxmlformats.org/officeDocument/2006/relationships/hyperlink" Target="https://res.cloudinary.com/a1irmvxv/image/upload/f_auto,q_auto/ChatGPT_Image_Jun_24_2026_02_26_06_PM_x1isth" TargetMode="External"/><Relationship Id="rId7" Type="http://schemas.openxmlformats.org/officeDocument/2006/relationships/hyperlink" Target="https://res.cloudinary.com/a1irmvxv/image/upload/f_auto,q_auto/ChatGPT_Image_Jun_24_2026_02_27_36_PM_avlrpn" TargetMode="External"/><Relationship Id="rId8" Type="http://schemas.openxmlformats.org/officeDocument/2006/relationships/hyperlink" Target="https://res.cloudinary.com/a1irmvxv/image/upload/f_auto,q_auto/ChatGPT_Image_Jun_24_2026_02_27_36_PM_avlrpn"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res.cloudinary.com/a1irmvxv/image/upload/f_auto,q_auto/hf_20260630_003148_8cdf9166-5c23-4c3d-8c7f-cf7f872a39ce_xgls2u" TargetMode="External"/><Relationship Id="rId194" Type="http://schemas.openxmlformats.org/officeDocument/2006/relationships/hyperlink" Target="https://res.cloudinary.com/a1irmvxv/image/upload/f_auto,q_auto/hf_20260630_003148_8cdf9166-5c23-4c3d-8c7f-cf7f872a39ce_xgls2u" TargetMode="External"/><Relationship Id="rId193" Type="http://schemas.openxmlformats.org/officeDocument/2006/relationships/hyperlink" Target="https://drive.google.com/uc?id=1twuX3OVwKgYy-Rqz4Cf8foLztdppGbJW" TargetMode="External"/><Relationship Id="rId192" Type="http://schemas.openxmlformats.org/officeDocument/2006/relationships/hyperlink" Target="https://tempfile.aiquickdraw.com/images/chatgpt/file_00000000dc3471f5b6165129487d1f68.png" TargetMode="External"/><Relationship Id="rId191" Type="http://schemas.openxmlformats.org/officeDocument/2006/relationships/hyperlink" Target="https://tempfile.redpandaai.co/kieai/11402406/athena-refs/style_ref.jpg" TargetMode="External"/><Relationship Id="rId187" Type="http://schemas.openxmlformats.org/officeDocument/2006/relationships/hyperlink" Target="https://tempfile.redpandaai.co/kieai/11402406/athena-refs/style_ref.jpg" TargetMode="External"/><Relationship Id="rId186" Type="http://schemas.openxmlformats.org/officeDocument/2006/relationships/hyperlink" Target="https://res.cloudinary.com/a1irmvxv/image/upload/f_auto,q_auto/hf_20260630_003148_8cdf9166-5c23-4c3d-8c7f-cf7f872a39ce_xgls2u" TargetMode="External"/><Relationship Id="rId185" Type="http://schemas.openxmlformats.org/officeDocument/2006/relationships/hyperlink" Target="https://drive.google.com/uc?id=1p4f93Rnw1CGlEAJ_LeSanR6v7ncEhEL5" TargetMode="External"/><Relationship Id="rId184" Type="http://schemas.openxmlformats.org/officeDocument/2006/relationships/hyperlink" Target="https://tempfile.aiquickdraw.com/images/chatgpt/file_0000000062c871f583f4b28cc42c5788.png" TargetMode="External"/><Relationship Id="rId189" Type="http://schemas.openxmlformats.org/officeDocument/2006/relationships/hyperlink" Target="https://drive.google.com/uc?id=1ofXwCYyxnFw0LSlp9-qN-rYBKPxGIU5W" TargetMode="External"/><Relationship Id="rId188" Type="http://schemas.openxmlformats.org/officeDocument/2006/relationships/hyperlink" Target="https://tempfile.aiquickdraw.com/images/chatgpt/file_00000000006871fdbfba2290f0240cc0.png" TargetMode="External"/><Relationship Id="rId183" Type="http://schemas.openxmlformats.org/officeDocument/2006/relationships/hyperlink" Target="https://tempfile.redpandaai.co/kieai/11402406/athena-refs/style_ref.jpg" TargetMode="External"/><Relationship Id="rId182" Type="http://schemas.openxmlformats.org/officeDocument/2006/relationships/hyperlink" Target="https://res.cloudinary.com/a1irmvxv/image/upload/f_auto,q_auto/hf_20260630_003148_8cdf9166-5c23-4c3d-8c7f-cf7f872a39ce_xgls2u" TargetMode="External"/><Relationship Id="rId181" Type="http://schemas.openxmlformats.org/officeDocument/2006/relationships/hyperlink" Target="https://drive.google.com/uc?id=1W9ePHiLYX6CpUUHiMVbwA2z70R2_ajrb" TargetMode="External"/><Relationship Id="rId180" Type="http://schemas.openxmlformats.org/officeDocument/2006/relationships/hyperlink" Target="https://tempfile.aiquickdraw.com/images/chatgpt/file_000000003de0722fb078586b969b94a6.png" TargetMode="External"/><Relationship Id="rId176" Type="http://schemas.openxmlformats.org/officeDocument/2006/relationships/hyperlink" Target="https://tempfile.aiquickdraw.com/images/chatgpt/file_0000000021d0722f8bfa93849d8cd66d.png" TargetMode="External"/><Relationship Id="rId297" Type="http://schemas.openxmlformats.org/officeDocument/2006/relationships/hyperlink" Target="https://drive.google.com/uc?id=1igngLxr74_o9J4ani_GvhiP9A9At1I1o" TargetMode="External"/><Relationship Id="rId175" Type="http://schemas.openxmlformats.org/officeDocument/2006/relationships/hyperlink" Target="https://tempfile.redpandaai.co/kieai/11402406/athena-refs/style_ref.jpg" TargetMode="External"/><Relationship Id="rId296" Type="http://schemas.openxmlformats.org/officeDocument/2006/relationships/hyperlink" Target="https://tempfile.aiquickdraw.com/images/chatgpt/file_00000000c26c81fbaee2149a0251a7a3.png" TargetMode="External"/><Relationship Id="rId174" Type="http://schemas.openxmlformats.org/officeDocument/2006/relationships/hyperlink" Target="https://res.cloudinary.com/a1irmvxv/image/upload/f_auto,q_auto/ChatGPT_Image_Jun_24_2026_02_26_06_PM_x1isth" TargetMode="External"/><Relationship Id="rId295" Type="http://schemas.openxmlformats.org/officeDocument/2006/relationships/hyperlink" Target="https://tempfile.redpandaai.co/kieai/11402406/athena-refs/style_ref.jpg" TargetMode="External"/><Relationship Id="rId173" Type="http://schemas.openxmlformats.org/officeDocument/2006/relationships/hyperlink" Target="https://drive.google.com/uc?id=1BaSxbHxUKLOv2pBur_yGyIf14__z_PsT" TargetMode="External"/><Relationship Id="rId294" Type="http://schemas.openxmlformats.org/officeDocument/2006/relationships/hyperlink" Target="https://res.cloudinary.com/a1irmvxv/image/upload/f_auto,q_auto/ChatGPT_Image_Jun_24_2026_02_27_36_PM_avlrpn" TargetMode="External"/><Relationship Id="rId179" Type="http://schemas.openxmlformats.org/officeDocument/2006/relationships/hyperlink" Target="https://tempfile.redpandaai.co/kieai/11402406/athena-refs/style_ref.jpg" TargetMode="External"/><Relationship Id="rId178" Type="http://schemas.openxmlformats.org/officeDocument/2006/relationships/hyperlink" Target="https://res.cloudinary.com/a1irmvxv/image/upload/f_auto,q_auto/ChatGPT_Image_Jun_24_2026_02_26_06_PM_x1isth" TargetMode="External"/><Relationship Id="rId299" Type="http://schemas.openxmlformats.org/officeDocument/2006/relationships/hyperlink" Target="https://tempfile.redpandaai.co/kieai/11402406/athena-refs/style_ref.jpg" TargetMode="External"/><Relationship Id="rId177" Type="http://schemas.openxmlformats.org/officeDocument/2006/relationships/hyperlink" Target="https://drive.google.com/uc?id=1ja_8e3BZxKBD7sPb60KdqBUfC1V1auHr" TargetMode="External"/><Relationship Id="rId298" Type="http://schemas.openxmlformats.org/officeDocument/2006/relationships/hyperlink" Target="https://res.cloudinary.com/a1irmvxv/image/upload/f_auto,q_auto/ChatGPT_Image_Jun_24_2026_02_27_36_PM_avlrpn" TargetMode="External"/><Relationship Id="rId198" Type="http://schemas.openxmlformats.org/officeDocument/2006/relationships/hyperlink" Target="https://res.cloudinary.com/a1irmvxv/image/upload/f_auto,q_auto/hf_20260630_003148_8cdf9166-5c23-4c3d-8c7f-cf7f872a39ce_xgls2u" TargetMode="External"/><Relationship Id="rId197" Type="http://schemas.openxmlformats.org/officeDocument/2006/relationships/hyperlink" Target="https://drive.google.com/uc?id=1c0C21Vmfq_6CNzqziPBtPQNDWrYqOMR6" TargetMode="External"/><Relationship Id="rId196" Type="http://schemas.openxmlformats.org/officeDocument/2006/relationships/hyperlink" Target="https://tempfile.aiquickdraw.com/images/chatgpt/file_0000000011f471fb98023725648c4745.png" TargetMode="External"/><Relationship Id="rId195" Type="http://schemas.openxmlformats.org/officeDocument/2006/relationships/hyperlink" Target="https://tempfile.redpandaai.co/kieai/11402406/athena-refs/style_ref.jpg" TargetMode="External"/><Relationship Id="rId199" Type="http://schemas.openxmlformats.org/officeDocument/2006/relationships/hyperlink" Target="https://tempfile.redpandaai.co/kieai/11402406/athena-refs/style_ref.jpg" TargetMode="External"/><Relationship Id="rId150" Type="http://schemas.openxmlformats.org/officeDocument/2006/relationships/hyperlink" Target="https://res.cloudinary.com/a1irmvxv/image/upload/f_auto,q_auto/ChatGPT_Image_Jun_24_2026_02_26_06_PM_x1isth" TargetMode="External"/><Relationship Id="rId271" Type="http://schemas.openxmlformats.org/officeDocument/2006/relationships/hyperlink" Target="https://tempfile.redpandaai.co/kieai/11402406/athena-refs/style_ref.jpg" TargetMode="External"/><Relationship Id="rId392" Type="http://schemas.openxmlformats.org/officeDocument/2006/relationships/hyperlink" Target="https://tempfile.aiquickdraw.com/images/chatgpt/file_00000000dc5c820c9bcdee0a8c5a6b7c.png" TargetMode="External"/><Relationship Id="rId270" Type="http://schemas.openxmlformats.org/officeDocument/2006/relationships/hyperlink" Target="https://res.cloudinary.com/a1irmvxv/image/upload/f_auto,q_auto/hf_20260630_002349_744b79a7-84f6-4760-9bb8-95a9d0e040e3_1_jnwc44" TargetMode="External"/><Relationship Id="rId391" Type="http://schemas.openxmlformats.org/officeDocument/2006/relationships/hyperlink" Target="https://tempfile.redpandaai.co/kieai/11402406/athena-refs/style_ref.jpg" TargetMode="External"/><Relationship Id="rId390" Type="http://schemas.openxmlformats.org/officeDocument/2006/relationships/hyperlink" Target="https://res.cloudinary.com/a1irmvxv/image/upload/f_auto,q_auto/ChatGPT_Image_Jun_24_2026_02_26_06_PM_x1isth" TargetMode="External"/><Relationship Id="rId1" Type="http://schemas.openxmlformats.org/officeDocument/2006/relationships/hyperlink" Target="https://res.cloudinary.com/a1irmvxv/image/upload/f_auto,q_auto/ChatGPT_Image_Jun_24_2026_02_26_06_PM_x1isth" TargetMode="External"/><Relationship Id="rId2" Type="http://schemas.openxmlformats.org/officeDocument/2006/relationships/hyperlink" Target="https://tempfile.redpandaai.co/kieai/11402406/athena-refs/style_ref.jpg" TargetMode="External"/><Relationship Id="rId3" Type="http://schemas.openxmlformats.org/officeDocument/2006/relationships/hyperlink" Target="https://tempfile.aiquickdraw.com/images/chatgpt/file_0000000073d4720cada87dd2ab4ea2be.png" TargetMode="External"/><Relationship Id="rId149" Type="http://schemas.openxmlformats.org/officeDocument/2006/relationships/hyperlink" Target="https://drive.google.com/uc?id=1XnT9V3Ckr05wgIYPv6ptQsA7GUJfzaXr" TargetMode="External"/><Relationship Id="rId4" Type="http://schemas.openxmlformats.org/officeDocument/2006/relationships/hyperlink" Target="https://drive.google.com/uc?id=1986uKB8ne4rTP2ET6PU4GClKqpOv7qZ4" TargetMode="External"/><Relationship Id="rId148" Type="http://schemas.openxmlformats.org/officeDocument/2006/relationships/hyperlink" Target="https://tempfile.aiquickdraw.com/images/chatgpt/file_000000004ac4722fafb2201df540d4c8.png" TargetMode="External"/><Relationship Id="rId269" Type="http://schemas.openxmlformats.org/officeDocument/2006/relationships/hyperlink" Target="https://drive.google.com/uc?id=1okYitVd-SpD92B_GZa74yEHRttLCIfLR" TargetMode="External"/><Relationship Id="rId9" Type="http://schemas.openxmlformats.org/officeDocument/2006/relationships/hyperlink" Target="https://res.cloudinary.com/a1irmvxv/image/upload/f_auto,q_auto/ChatGPT_Image_Jul_13_2026_02_32_35_PM_wx14ep" TargetMode="External"/><Relationship Id="rId143" Type="http://schemas.openxmlformats.org/officeDocument/2006/relationships/hyperlink" Target="https://tempfile.redpandaai.co/kieai/11402406/athena-refs/style_ref.jpg" TargetMode="External"/><Relationship Id="rId264" Type="http://schemas.openxmlformats.org/officeDocument/2006/relationships/hyperlink" Target="https://tempfile.aiquickdraw.com/images/chatgpt/file_0000000000f481f59be8cc6afad8cde7.png" TargetMode="External"/><Relationship Id="rId385" Type="http://schemas.openxmlformats.org/officeDocument/2006/relationships/hyperlink" Target="https://drive.google.com/uc?id=1a7ugMlHeZdaB9tgePSDTahQwZO3gmAaH" TargetMode="External"/><Relationship Id="rId142" Type="http://schemas.openxmlformats.org/officeDocument/2006/relationships/hyperlink" Target="https://res.cloudinary.com/a1irmvxv/image/upload/f_auto,q_auto/hf_20260630_003148_8cdf9166-5c23-4c3d-8c7f-cf7f872a39ce_xgls2u" TargetMode="External"/><Relationship Id="rId263" Type="http://schemas.openxmlformats.org/officeDocument/2006/relationships/hyperlink" Target="https://tempfile.redpandaai.co/kieai/11402406/athena-refs/style_ref.jpg" TargetMode="External"/><Relationship Id="rId384" Type="http://schemas.openxmlformats.org/officeDocument/2006/relationships/hyperlink" Target="https://tempfile.aiquickdraw.com/images/chatgpt/file_0000000071a081f586840d6de96d03a0.png" TargetMode="External"/><Relationship Id="rId141" Type="http://schemas.openxmlformats.org/officeDocument/2006/relationships/hyperlink" Target="https://drive.google.com/uc?id=1mmVHL39nlC9hpSEr08S_Vbpkr72sZWk-" TargetMode="External"/><Relationship Id="rId262" Type="http://schemas.openxmlformats.org/officeDocument/2006/relationships/hyperlink" Target="https://res.cloudinary.com/a1irmvxv/image/upload/f_auto,q_auto/hf_20260630_002349_744b79a7-84f6-4760-9bb8-95a9d0e040e3_1_jnwc44" TargetMode="External"/><Relationship Id="rId383" Type="http://schemas.openxmlformats.org/officeDocument/2006/relationships/hyperlink" Target="https://tempfile.redpandaai.co/kieai/11402406/athena-refs/style_ref.jpg" TargetMode="External"/><Relationship Id="rId140" Type="http://schemas.openxmlformats.org/officeDocument/2006/relationships/hyperlink" Target="https://tempfile.aiquickdraw.com/images/chatgpt/file_0000000022f871fbbcfbd594cb0c9260.png" TargetMode="External"/><Relationship Id="rId261" Type="http://schemas.openxmlformats.org/officeDocument/2006/relationships/hyperlink" Target="https://drive.google.com/uc?id=1m21DTFDCqBkqtg5UGsMrmhvvS61nJwey" TargetMode="External"/><Relationship Id="rId382" Type="http://schemas.openxmlformats.org/officeDocument/2006/relationships/hyperlink" Target="https://res.cloudinary.com/a1irmvxv/image/upload/f_auto,q_auto/ChatGPT_Image_Jun_24_2026_02_26_06_PM_x1isth" TargetMode="External"/><Relationship Id="rId5" Type="http://schemas.openxmlformats.org/officeDocument/2006/relationships/hyperlink" Target="https://res.cloudinary.com/a1irmvxv/image/upload/f_auto,q_auto/ChatGPT_Image_Jul_13_2026_02_32_35_PM_wx14ep" TargetMode="External"/><Relationship Id="rId147" Type="http://schemas.openxmlformats.org/officeDocument/2006/relationships/hyperlink" Target="https://tempfile.redpandaai.co/kieai/11402406/athena-refs/style_ref.jpg" TargetMode="External"/><Relationship Id="rId268" Type="http://schemas.openxmlformats.org/officeDocument/2006/relationships/hyperlink" Target="https://tempfile.aiquickdraw.com/images/chatgpt/file_00000000bdcc81f69df8f66f512f6571.png" TargetMode="External"/><Relationship Id="rId389" Type="http://schemas.openxmlformats.org/officeDocument/2006/relationships/hyperlink" Target="https://drive.google.com/uc?id=1kLCu4JoqWSfjtyhKzVaCfaOd8oXhoUJG" TargetMode="External"/><Relationship Id="rId6" Type="http://schemas.openxmlformats.org/officeDocument/2006/relationships/hyperlink" Target="https://tempfile.redpandaai.co/kieai/11402406/athena-refs/style_ref.jpg" TargetMode="External"/><Relationship Id="rId146" Type="http://schemas.openxmlformats.org/officeDocument/2006/relationships/hyperlink" Target="https://res.cloudinary.com/a1irmvxv/image/upload/f_auto,q_auto/ChatGPT_Image_Jun_24_2026_02_26_06_PM_x1isth" TargetMode="External"/><Relationship Id="rId267" Type="http://schemas.openxmlformats.org/officeDocument/2006/relationships/hyperlink" Target="https://tempfile.redpandaai.co/kieai/11402406/athena-refs/style_ref.jpg" TargetMode="External"/><Relationship Id="rId388" Type="http://schemas.openxmlformats.org/officeDocument/2006/relationships/hyperlink" Target="https://tempfile.aiquickdraw.com/images/chatgpt/file_0000000071a481f5a061908d3e9cea3b.png" TargetMode="External"/><Relationship Id="rId7" Type="http://schemas.openxmlformats.org/officeDocument/2006/relationships/hyperlink" Target="https://tempfile.aiquickdraw.com/images/chatgpt/file_0000000003c471f5a5d444f69b7db6fd.png" TargetMode="External"/><Relationship Id="rId145" Type="http://schemas.openxmlformats.org/officeDocument/2006/relationships/hyperlink" Target="https://drive.google.com/uc?id=1KUyyOrkyt_0DzEbuAQkx0ClsO-dYSkT4" TargetMode="External"/><Relationship Id="rId266" Type="http://schemas.openxmlformats.org/officeDocument/2006/relationships/hyperlink" Target="https://res.cloudinary.com/a1irmvxv/image/upload/f_auto,q_auto/hf_20260630_002349_744b79a7-84f6-4760-9bb8-95a9d0e040e3_1_jnwc44" TargetMode="External"/><Relationship Id="rId387" Type="http://schemas.openxmlformats.org/officeDocument/2006/relationships/hyperlink" Target="https://tempfile.redpandaai.co/kieai/11402406/athena-refs/style_ref.jpg" TargetMode="External"/><Relationship Id="rId8" Type="http://schemas.openxmlformats.org/officeDocument/2006/relationships/hyperlink" Target="https://drive.google.com/uc?id=1axzQogpet0OO1ucMNmyY927qLN5VCkrA" TargetMode="External"/><Relationship Id="rId144" Type="http://schemas.openxmlformats.org/officeDocument/2006/relationships/hyperlink" Target="https://tempfile.aiquickdraw.com/images/chatgpt/file_00000000e0b4722f9d2451f841a3a79e.png" TargetMode="External"/><Relationship Id="rId265" Type="http://schemas.openxmlformats.org/officeDocument/2006/relationships/hyperlink" Target="https://drive.google.com/uc?id=17yR_vLk5cJJpJQQGNiRz6A3kP7eA_vWy" TargetMode="External"/><Relationship Id="rId386" Type="http://schemas.openxmlformats.org/officeDocument/2006/relationships/hyperlink" Target="https://res.cloudinary.com/a1irmvxv/image/upload/f_auto,q_auto/ChatGPT_Image_Jun_24_2026_02_26_06_PM_x1isth" TargetMode="External"/><Relationship Id="rId260" Type="http://schemas.openxmlformats.org/officeDocument/2006/relationships/hyperlink" Target="https://tempfile.aiquickdraw.com/images/chatgpt/file_0000000051d881f597541865605afb00.png" TargetMode="External"/><Relationship Id="rId381" Type="http://schemas.openxmlformats.org/officeDocument/2006/relationships/hyperlink" Target="https://drive.google.com/uc?id=1hBNktJcx9KHkAIxQWe6NCivhn6gJ4UKw" TargetMode="External"/><Relationship Id="rId380" Type="http://schemas.openxmlformats.org/officeDocument/2006/relationships/hyperlink" Target="https://tempfile.aiquickdraw.com/images/chatgpt/file_00000000199481f589846b7c44332a2d.png" TargetMode="External"/><Relationship Id="rId139" Type="http://schemas.openxmlformats.org/officeDocument/2006/relationships/hyperlink" Target="https://tempfile.redpandaai.co/kieai/11402406/athena-refs/style_ref.jpg" TargetMode="External"/><Relationship Id="rId138" Type="http://schemas.openxmlformats.org/officeDocument/2006/relationships/hyperlink" Target="https://res.cloudinary.com/a1irmvxv/image/upload/f_auto,q_auto/hf_20260630_003148_8cdf9166-5c23-4c3d-8c7f-cf7f872a39ce_xgls2u" TargetMode="External"/><Relationship Id="rId259" Type="http://schemas.openxmlformats.org/officeDocument/2006/relationships/hyperlink" Target="https://tempfile.redpandaai.co/kieai/11402406/athena-refs/style_ref.jpg" TargetMode="External"/><Relationship Id="rId137" Type="http://schemas.openxmlformats.org/officeDocument/2006/relationships/hyperlink" Target="https://drive.google.com/uc?id=1QiJEhOf9enIqkS_hTrwrHyYYb9pKjvMn" TargetMode="External"/><Relationship Id="rId258" Type="http://schemas.openxmlformats.org/officeDocument/2006/relationships/hyperlink" Target="https://res.cloudinary.com/a1irmvxv/image/upload/f_auto,q_auto/hf_20260630_002349_744b79a7-84f6-4760-9bb8-95a9d0e040e3_1_jnwc44" TargetMode="External"/><Relationship Id="rId379" Type="http://schemas.openxmlformats.org/officeDocument/2006/relationships/hyperlink" Target="https://tempfile.redpandaai.co/kieai/11402406/athena-refs/style_ref.jpg" TargetMode="External"/><Relationship Id="rId132" Type="http://schemas.openxmlformats.org/officeDocument/2006/relationships/hyperlink" Target="https://tempfile.aiquickdraw.com/images/chatgpt/file_00000000081c72098cbc7c1185f60f14.png" TargetMode="External"/><Relationship Id="rId253" Type="http://schemas.openxmlformats.org/officeDocument/2006/relationships/hyperlink" Target="https://drive.google.com/uc?id=1BDWb0oonnwqTzroWrwZdOg7K1qfbVVt-" TargetMode="External"/><Relationship Id="rId374" Type="http://schemas.openxmlformats.org/officeDocument/2006/relationships/hyperlink" Target="https://res.cloudinary.com/a1irmvxv/image/upload/f_auto,q_auto/ChatGPT_Image_Jul_13_2026_02_32_35_PM_wx14ep" TargetMode="External"/><Relationship Id="rId131" Type="http://schemas.openxmlformats.org/officeDocument/2006/relationships/hyperlink" Target="https://tempfile.redpandaai.co/kieai/11402406/athena-refs/style_ref.jpg" TargetMode="External"/><Relationship Id="rId252" Type="http://schemas.openxmlformats.org/officeDocument/2006/relationships/hyperlink" Target="https://tempfile.aiquickdraw.com/images/chatgpt/file_000000002aa871f5a76bca915f3bd9dd.png" TargetMode="External"/><Relationship Id="rId373" Type="http://schemas.openxmlformats.org/officeDocument/2006/relationships/hyperlink" Target="https://drive.google.com/uc?id=1Rd2OVDEQa-E5XMDWpcftX_yFthbOJVsb" TargetMode="External"/><Relationship Id="rId130" Type="http://schemas.openxmlformats.org/officeDocument/2006/relationships/hyperlink" Target="https://res.cloudinary.com/a1irmvxv/image/upload/f_auto,q_auto/hf_20260630_003148_8cdf9166-5c23-4c3d-8c7f-cf7f872a39ce_xgls2u" TargetMode="External"/><Relationship Id="rId251" Type="http://schemas.openxmlformats.org/officeDocument/2006/relationships/hyperlink" Target="https://tempfile.redpandaai.co/kieai/11402406/athena-refs/style_ref.jpg" TargetMode="External"/><Relationship Id="rId372" Type="http://schemas.openxmlformats.org/officeDocument/2006/relationships/hyperlink" Target="https://tempfile.aiquickdraw.com/images/chatgpt/file_0000000073f481f5b8556b51a7b00704.png" TargetMode="External"/><Relationship Id="rId250" Type="http://schemas.openxmlformats.org/officeDocument/2006/relationships/hyperlink" Target="https://res.cloudinary.com/a1irmvxv/image/upload/f_auto,q_auto/ChatGPT_Image_Jul_13_2026_02_32_35_PM_wx14ep" TargetMode="External"/><Relationship Id="rId371" Type="http://schemas.openxmlformats.org/officeDocument/2006/relationships/hyperlink" Target="https://tempfile.redpandaai.co/kieai/11402406/athena-refs/style_ref.jpg" TargetMode="External"/><Relationship Id="rId136" Type="http://schemas.openxmlformats.org/officeDocument/2006/relationships/hyperlink" Target="https://tempfile.aiquickdraw.com/images/chatgpt/file_000000002874722f914b2234937bd633.png" TargetMode="External"/><Relationship Id="rId257" Type="http://schemas.openxmlformats.org/officeDocument/2006/relationships/hyperlink" Target="https://drive.google.com/uc?id=1k8Mc0QJb9NfdFNJLRU2euYSzCq-9sL2q" TargetMode="External"/><Relationship Id="rId378" Type="http://schemas.openxmlformats.org/officeDocument/2006/relationships/hyperlink" Target="https://res.cloudinary.com/a1irmvxv/image/upload/f_auto,q_auto/ChatGPT_Image_Jun_24_2026_02_26_06_PM_x1isth" TargetMode="External"/><Relationship Id="rId135" Type="http://schemas.openxmlformats.org/officeDocument/2006/relationships/hyperlink" Target="https://tempfile.redpandaai.co/kieai/11402406/athena-refs/style_ref.jpg" TargetMode="External"/><Relationship Id="rId256" Type="http://schemas.openxmlformats.org/officeDocument/2006/relationships/hyperlink" Target="https://tempfile.aiquickdraw.com/images/chatgpt/file_00000000f34c822f8e13fad63b4c8cb2.png" TargetMode="External"/><Relationship Id="rId377" Type="http://schemas.openxmlformats.org/officeDocument/2006/relationships/hyperlink" Target="https://drive.google.com/uc?id=1pQWnx_IhVfJ0PgvGtWbXJcsJXJv-Sbdu" TargetMode="External"/><Relationship Id="rId134" Type="http://schemas.openxmlformats.org/officeDocument/2006/relationships/hyperlink" Target="https://res.cloudinary.com/a1irmvxv/image/upload/f_auto,q_auto/hf_20260630_003148_8cdf9166-5c23-4c3d-8c7f-cf7f872a39ce_xgls2u" TargetMode="External"/><Relationship Id="rId255" Type="http://schemas.openxmlformats.org/officeDocument/2006/relationships/hyperlink" Target="https://tempfile.redpandaai.co/kieai/11402406/athena-refs/style_ref.jpg" TargetMode="External"/><Relationship Id="rId376" Type="http://schemas.openxmlformats.org/officeDocument/2006/relationships/hyperlink" Target="https://tempfile.aiquickdraw.com/images/chatgpt/file_0000000088fc81f6be0d6712846e6ca0.png" TargetMode="External"/><Relationship Id="rId133" Type="http://schemas.openxmlformats.org/officeDocument/2006/relationships/hyperlink" Target="https://drive.google.com/uc?id=1Jycvva1aYHsnx_izGyT9dVMMByuNGXgL" TargetMode="External"/><Relationship Id="rId254" Type="http://schemas.openxmlformats.org/officeDocument/2006/relationships/hyperlink" Target="https://res.cloudinary.com/a1irmvxv/image/upload/f_auto,q_auto/hf_20260630_002349_744b79a7-84f6-4760-9bb8-95a9d0e040e3_1_jnwc44" TargetMode="External"/><Relationship Id="rId375" Type="http://schemas.openxmlformats.org/officeDocument/2006/relationships/hyperlink" Target="https://tempfile.redpandaai.co/kieai/11402406/athena-refs/style_ref.jpg" TargetMode="External"/><Relationship Id="rId172" Type="http://schemas.openxmlformats.org/officeDocument/2006/relationships/hyperlink" Target="https://tempfile.aiquickdraw.com/images/chatgpt/file_000000002d0471f5a131107d4cc61944.png" TargetMode="External"/><Relationship Id="rId293" Type="http://schemas.openxmlformats.org/officeDocument/2006/relationships/hyperlink" Target="https://drive.google.com/uc?id=1nMaCePdTei_GCgL2eJIqnVBuB53XxlOw" TargetMode="External"/><Relationship Id="rId171" Type="http://schemas.openxmlformats.org/officeDocument/2006/relationships/hyperlink" Target="https://tempfile.redpandaai.co/kieai/11402406/athena-refs/style_ref.jpg" TargetMode="External"/><Relationship Id="rId292" Type="http://schemas.openxmlformats.org/officeDocument/2006/relationships/hyperlink" Target="https://tempfile.aiquickdraw.com/images/chatgpt/file_00000000f2b081fd9c350add7946f0be.png" TargetMode="External"/><Relationship Id="rId170" Type="http://schemas.openxmlformats.org/officeDocument/2006/relationships/hyperlink" Target="https://res.cloudinary.com/a1irmvxv/image/upload/f_auto,q_auto/ChatGPT_Image_Jun_24_2026_02_26_06_PM_x1isth" TargetMode="External"/><Relationship Id="rId291" Type="http://schemas.openxmlformats.org/officeDocument/2006/relationships/hyperlink" Target="https://tempfile.redpandaai.co/kieai/11402406/athena-refs/style_ref.jpg" TargetMode="External"/><Relationship Id="rId290" Type="http://schemas.openxmlformats.org/officeDocument/2006/relationships/hyperlink" Target="https://res.cloudinary.com/a1irmvxv/image/upload/f_auto,q_auto/ChatGPT_Image_Jun_24_2026_02_27_36_PM_avlrpn" TargetMode="External"/><Relationship Id="rId165" Type="http://schemas.openxmlformats.org/officeDocument/2006/relationships/hyperlink" Target="https://drive.google.com/uc?id=1Qotyn8d_EPar_TJRa0EhoWYRdL47_Ask" TargetMode="External"/><Relationship Id="rId286" Type="http://schemas.openxmlformats.org/officeDocument/2006/relationships/hyperlink" Target="https://res.cloudinary.com/a1irmvxv/image/upload/f_auto,q_auto/ChatGPT_Image_Jun_24_2026_02_27_36_PM_avlrpn" TargetMode="External"/><Relationship Id="rId164" Type="http://schemas.openxmlformats.org/officeDocument/2006/relationships/hyperlink" Target="https://tempfile.aiquickdraw.com/images/chatgpt/file_00000000406c722f9c886005d7cf0443.png" TargetMode="External"/><Relationship Id="rId285" Type="http://schemas.openxmlformats.org/officeDocument/2006/relationships/hyperlink" Target="https://drive.google.com/uc?id=1WgIbT0d9hHkGjIyTHZ3qWly0ktOmXgXn" TargetMode="External"/><Relationship Id="rId163" Type="http://schemas.openxmlformats.org/officeDocument/2006/relationships/hyperlink" Target="https://tempfile.redpandaai.co/kieai/11402406/athena-refs/style_ref.jpg" TargetMode="External"/><Relationship Id="rId284" Type="http://schemas.openxmlformats.org/officeDocument/2006/relationships/hyperlink" Target="https://tempfile.aiquickdraw.com/images/chatgpt/file_0000000067f482098a11f7ee0100e031.png" TargetMode="External"/><Relationship Id="rId162" Type="http://schemas.openxmlformats.org/officeDocument/2006/relationships/hyperlink" Target="https://res.cloudinary.com/a1irmvxv/image/upload/f_auto,q_auto/ChatGPT_Image_Jun_24_2026_02_26_06_PM_x1isth" TargetMode="External"/><Relationship Id="rId283" Type="http://schemas.openxmlformats.org/officeDocument/2006/relationships/hyperlink" Target="https://tempfile.redpandaai.co/kieai/11402406/athena-refs/style_ref.jpg" TargetMode="External"/><Relationship Id="rId169" Type="http://schemas.openxmlformats.org/officeDocument/2006/relationships/hyperlink" Target="https://drive.google.com/uc?id=1Vb2yIl3spdCq1qL98SwOpJS5qhR9CWZ-" TargetMode="External"/><Relationship Id="rId168" Type="http://schemas.openxmlformats.org/officeDocument/2006/relationships/hyperlink" Target="https://tempfile.aiquickdraw.com/images/chatgpt/file_00000000b59471fd88eb40cea0ef25a6.png" TargetMode="External"/><Relationship Id="rId289" Type="http://schemas.openxmlformats.org/officeDocument/2006/relationships/hyperlink" Target="https://drive.google.com/uc?id=1cXRrWIW3f_aqWilUq-NliteaplrJcI1R" TargetMode="External"/><Relationship Id="rId167" Type="http://schemas.openxmlformats.org/officeDocument/2006/relationships/hyperlink" Target="https://tempfile.redpandaai.co/kieai/11402406/athena-refs/style_ref.jpg" TargetMode="External"/><Relationship Id="rId288" Type="http://schemas.openxmlformats.org/officeDocument/2006/relationships/hyperlink" Target="https://tempfile.aiquickdraw.com/images/chatgpt/file_0000000081c4822fb6c160f98d2b5342.png" TargetMode="External"/><Relationship Id="rId166" Type="http://schemas.openxmlformats.org/officeDocument/2006/relationships/hyperlink" Target="https://res.cloudinary.com/a1irmvxv/image/upload/f_auto,q_auto/ChatGPT_Image_Jun_24_2026_02_26_06_PM_x1isth" TargetMode="External"/><Relationship Id="rId287" Type="http://schemas.openxmlformats.org/officeDocument/2006/relationships/hyperlink" Target="https://tempfile.redpandaai.co/kieai/11402406/athena-refs/style_ref.jpg" TargetMode="External"/><Relationship Id="rId161" Type="http://schemas.openxmlformats.org/officeDocument/2006/relationships/hyperlink" Target="https://drive.google.com/uc?id=1cWJQrNAXNs3gEp39Nx1A7WbHPiEeSXM_" TargetMode="External"/><Relationship Id="rId282" Type="http://schemas.openxmlformats.org/officeDocument/2006/relationships/hyperlink" Target="https://res.cloudinary.com/a1irmvxv/image/upload/f_auto,q_auto/ChatGPT_Image_Jun_24_2026_02_27_36_PM_avlrpn" TargetMode="External"/><Relationship Id="rId160" Type="http://schemas.openxmlformats.org/officeDocument/2006/relationships/hyperlink" Target="https://tempfile.aiquickdraw.com/images/chatgpt/file_00000000f62c720c9570410e2af5cd0f.png" TargetMode="External"/><Relationship Id="rId281" Type="http://schemas.openxmlformats.org/officeDocument/2006/relationships/hyperlink" Target="https://drive.google.com/uc?id=1EEk3i_vFxVBh4K3o9mQaSifTREtg-_Q0" TargetMode="External"/><Relationship Id="rId280" Type="http://schemas.openxmlformats.org/officeDocument/2006/relationships/hyperlink" Target="https://tempfile.aiquickdraw.com/images/chatgpt/file_000000006e40820c9367c00e91eda787.png" TargetMode="External"/><Relationship Id="rId159" Type="http://schemas.openxmlformats.org/officeDocument/2006/relationships/hyperlink" Target="https://tempfile.redpandaai.co/kieai/11402406/athena-refs/style_ref.jpg" TargetMode="External"/><Relationship Id="rId154" Type="http://schemas.openxmlformats.org/officeDocument/2006/relationships/hyperlink" Target="https://res.cloudinary.com/a1irmvxv/image/upload/f_auto,q_auto/ChatGPT_Image_Jun_24_2026_02_26_06_PM_x1isth" TargetMode="External"/><Relationship Id="rId275" Type="http://schemas.openxmlformats.org/officeDocument/2006/relationships/hyperlink" Target="https://tempfile.redpandaai.co/kieai/11402406/athena-refs/style_ref.jpg" TargetMode="External"/><Relationship Id="rId396" Type="http://schemas.openxmlformats.org/officeDocument/2006/relationships/hyperlink" Target="https://tempfile.aiquickdraw.com/images/chatgpt/file_000000008f1081f69357a044f5ae22fe.png" TargetMode="External"/><Relationship Id="rId153" Type="http://schemas.openxmlformats.org/officeDocument/2006/relationships/hyperlink" Target="https://drive.google.com/uc?id=1pg4s8b1Qgq_oK_520V4m2XXJt3fz3Ixm" TargetMode="External"/><Relationship Id="rId274" Type="http://schemas.openxmlformats.org/officeDocument/2006/relationships/hyperlink" Target="https://res.cloudinary.com/a1irmvxv/image/upload/f_auto,q_auto/hf_20260630_002349_744b79a7-84f6-4760-9bb8-95a9d0e040e3_1_jnwc44" TargetMode="External"/><Relationship Id="rId395" Type="http://schemas.openxmlformats.org/officeDocument/2006/relationships/hyperlink" Target="https://tempfile.redpandaai.co/kieai/11402406/athena-refs/style_ref.jpg" TargetMode="External"/><Relationship Id="rId152" Type="http://schemas.openxmlformats.org/officeDocument/2006/relationships/hyperlink" Target="https://tempfile.aiquickdraw.com/images/chatgpt/file_00000000ca80722fb0eec7781a6b87c9.png" TargetMode="External"/><Relationship Id="rId273" Type="http://schemas.openxmlformats.org/officeDocument/2006/relationships/hyperlink" Target="https://drive.google.com/uc?id=1wCoviRq70ODmORyg1UpxqrZk-56bFhPQ" TargetMode="External"/><Relationship Id="rId394" Type="http://schemas.openxmlformats.org/officeDocument/2006/relationships/hyperlink" Target="https://res.cloudinary.com/a1irmvxv/image/upload/f_auto,q_auto/ChatGPT_Image_Jun_24_2026_02_26_06_PM_x1isth" TargetMode="External"/><Relationship Id="rId151" Type="http://schemas.openxmlformats.org/officeDocument/2006/relationships/hyperlink" Target="https://tempfile.redpandaai.co/kieai/11402406/athena-refs/style_ref.jpg" TargetMode="External"/><Relationship Id="rId272" Type="http://schemas.openxmlformats.org/officeDocument/2006/relationships/hyperlink" Target="https://tempfile.aiquickdraw.com/images/chatgpt/file_00000000282881f587a2e5aef1c676bc.png" TargetMode="External"/><Relationship Id="rId393" Type="http://schemas.openxmlformats.org/officeDocument/2006/relationships/hyperlink" Target="https://drive.google.com/uc?id=1OPZbITCsVvQvO5Nukyv4cyi1kZUd1YrK" TargetMode="External"/><Relationship Id="rId158" Type="http://schemas.openxmlformats.org/officeDocument/2006/relationships/hyperlink" Target="https://res.cloudinary.com/a1irmvxv/image/upload/f_auto,q_auto/ChatGPT_Image_Jun_24_2026_02_26_06_PM_x1isth" TargetMode="External"/><Relationship Id="rId279" Type="http://schemas.openxmlformats.org/officeDocument/2006/relationships/hyperlink" Target="https://tempfile.redpandaai.co/kieai/11402406/athena-refs/style_ref.jpg" TargetMode="External"/><Relationship Id="rId157" Type="http://schemas.openxmlformats.org/officeDocument/2006/relationships/hyperlink" Target="https://drive.google.com/uc?id=1i0la0A_AgrRQombGFJZlhoR_z28izZlW" TargetMode="External"/><Relationship Id="rId278" Type="http://schemas.openxmlformats.org/officeDocument/2006/relationships/hyperlink" Target="https://res.cloudinary.com/a1irmvxv/image/upload/f_auto,q_auto/hf_20260630_002349_744b79a7-84f6-4760-9bb8-95a9d0e040e3_1_jnwc44" TargetMode="External"/><Relationship Id="rId399" Type="http://schemas.openxmlformats.org/officeDocument/2006/relationships/hyperlink" Target="https://tempfile.redpandaai.co/kieai/11402406/athena-refs/style_ref.jpg" TargetMode="External"/><Relationship Id="rId156" Type="http://schemas.openxmlformats.org/officeDocument/2006/relationships/hyperlink" Target="https://tempfile.aiquickdraw.com/images/chatgpt/file_000000001e4c722fb62ad1c09625fde0.png" TargetMode="External"/><Relationship Id="rId277" Type="http://schemas.openxmlformats.org/officeDocument/2006/relationships/hyperlink" Target="https://drive.google.com/uc?id=1d_vwteGKCQxsBB4OfGpwdFM38TeDlKAA" TargetMode="External"/><Relationship Id="rId398" Type="http://schemas.openxmlformats.org/officeDocument/2006/relationships/hyperlink" Target="https://res.cloudinary.com/a1irmvxv/image/upload/f_auto,q_auto/ChatGPT_Image_Jun_24_2026_02_26_06_PM_x1isth" TargetMode="External"/><Relationship Id="rId155" Type="http://schemas.openxmlformats.org/officeDocument/2006/relationships/hyperlink" Target="https://tempfile.redpandaai.co/kieai/11402406/athena-refs/style_ref.jpg" TargetMode="External"/><Relationship Id="rId276" Type="http://schemas.openxmlformats.org/officeDocument/2006/relationships/hyperlink" Target="https://tempfile.aiquickdraw.com/images/chatgpt/file_00000000afbc822fba8a35563055fbdf.png" TargetMode="External"/><Relationship Id="rId397" Type="http://schemas.openxmlformats.org/officeDocument/2006/relationships/hyperlink" Target="https://drive.google.com/uc?id=15GUbr9ZcqtLSxHs1NxuXsILJC4XoJNFo" TargetMode="External"/><Relationship Id="rId40" Type="http://schemas.openxmlformats.org/officeDocument/2006/relationships/hyperlink" Target="https://tempfile.aiquickdraw.com/images/chatgpt/file_00000000b8e871fd97834e4739db4425.png" TargetMode="External"/><Relationship Id="rId42" Type="http://schemas.openxmlformats.org/officeDocument/2006/relationships/hyperlink" Target="https://res.cloudinary.com/a1irmvxv/image/upload/f_auto,q_auto/ChatGPT_Image_Jul_13_2026_02_32_35_PM_wx14ep" TargetMode="External"/><Relationship Id="rId41" Type="http://schemas.openxmlformats.org/officeDocument/2006/relationships/hyperlink" Target="https://drive.google.com/uc?id=1a-iX9Gd78mBH4NRLoUtncFTcj0Ts8eIB" TargetMode="External"/><Relationship Id="rId44" Type="http://schemas.openxmlformats.org/officeDocument/2006/relationships/hyperlink" Target="https://tempfile.aiquickdraw.com/images/chatgpt/file_000000009efc720c8c099ceed7a9b99f.png" TargetMode="External"/><Relationship Id="rId43" Type="http://schemas.openxmlformats.org/officeDocument/2006/relationships/hyperlink" Target="https://tempfile.redpandaai.co/kieai/11402406/athena-refs/style_ref.jpg" TargetMode="External"/><Relationship Id="rId46" Type="http://schemas.openxmlformats.org/officeDocument/2006/relationships/hyperlink" Target="https://res.cloudinary.com/a1irmvxv/image/upload/f_auto,q_auto/ChatGPT_Image_Jul_13_2026_02_32_35_PM_wx14ep" TargetMode="External"/><Relationship Id="rId45" Type="http://schemas.openxmlformats.org/officeDocument/2006/relationships/hyperlink" Target="https://drive.google.com/uc?id=17fXMbj_BmjDf6pIYhRaHoZJt5mA2nmC1" TargetMode="External"/><Relationship Id="rId48" Type="http://schemas.openxmlformats.org/officeDocument/2006/relationships/hyperlink" Target="https://tempfile.aiquickdraw.com/images/chatgpt/file_0000000026c871fd9112c0a0f8f6bd03.png" TargetMode="External"/><Relationship Id="rId47" Type="http://schemas.openxmlformats.org/officeDocument/2006/relationships/hyperlink" Target="https://tempfile.redpandaai.co/kieai/11402406/athena-refs/style_ref.jpg" TargetMode="External"/><Relationship Id="rId49" Type="http://schemas.openxmlformats.org/officeDocument/2006/relationships/hyperlink" Target="https://drive.google.com/uc?id=1LPgH6UL8bQf9gNrRe7uOfOdMCj2WTCX0" TargetMode="External"/><Relationship Id="rId31" Type="http://schemas.openxmlformats.org/officeDocument/2006/relationships/hyperlink" Target="https://tempfile.redpandaai.co/kieai/11402406/athena-refs/style_ref.jpg" TargetMode="External"/><Relationship Id="rId30" Type="http://schemas.openxmlformats.org/officeDocument/2006/relationships/hyperlink" Target="https://res.cloudinary.com/a1irmvxv/image/upload/f_auto,q_auto/ChatGPT_Image_Jul_13_2026_02_32_35_PM_wx14ep" TargetMode="External"/><Relationship Id="rId33" Type="http://schemas.openxmlformats.org/officeDocument/2006/relationships/hyperlink" Target="https://drive.google.com/uc?id=1qpnNFRdxDT-5fzEqloOO-FK9a0GhxtA1" TargetMode="External"/><Relationship Id="rId32" Type="http://schemas.openxmlformats.org/officeDocument/2006/relationships/hyperlink" Target="https://tempfile.aiquickdraw.com/images/chatgpt/file_00000000ee4071f59e9c69d9248a8f1a.png" TargetMode="External"/><Relationship Id="rId35" Type="http://schemas.openxmlformats.org/officeDocument/2006/relationships/hyperlink" Target="https://tempfile.redpandaai.co/kieai/11402406/athena-refs/style_ref.jpg" TargetMode="External"/><Relationship Id="rId34" Type="http://schemas.openxmlformats.org/officeDocument/2006/relationships/hyperlink" Target="https://res.cloudinary.com/a1irmvxv/image/upload/f_auto,q_auto/ChatGPT_Image_Jul_13_2026_02_32_35_PM_wx14ep" TargetMode="External"/><Relationship Id="rId37" Type="http://schemas.openxmlformats.org/officeDocument/2006/relationships/hyperlink" Target="https://drive.google.com/uc?id=11orFzPxTHpyaaZZczJJRK1hAtQt7cb8x" TargetMode="External"/><Relationship Id="rId36" Type="http://schemas.openxmlformats.org/officeDocument/2006/relationships/hyperlink" Target="https://tempfile.aiquickdraw.com/images/chatgpt/file_00000000f4d471fd9f0c87a5a530ca8e.png" TargetMode="External"/><Relationship Id="rId39" Type="http://schemas.openxmlformats.org/officeDocument/2006/relationships/hyperlink" Target="https://tempfile.redpandaai.co/kieai/11402406/athena-refs/style_ref.jpg" TargetMode="External"/><Relationship Id="rId38" Type="http://schemas.openxmlformats.org/officeDocument/2006/relationships/hyperlink" Target="https://res.cloudinary.com/a1irmvxv/image/upload/f_auto,q_auto/ChatGPT_Image_Jul_13_2026_02_32_35_PM_wx14ep" TargetMode="External"/><Relationship Id="rId20" Type="http://schemas.openxmlformats.org/officeDocument/2006/relationships/hyperlink" Target="https://tempfile.aiquickdraw.com/images/chatgpt/file_00000000cf5071f5b9ca1fa8b7fb2ce1.png" TargetMode="External"/><Relationship Id="rId22" Type="http://schemas.openxmlformats.org/officeDocument/2006/relationships/hyperlink" Target="https://res.cloudinary.com/a1irmvxv/image/upload/f_auto,q_auto/ChatGPT_Image_Jul_13_2026_02_32_35_PM_wx14ep" TargetMode="External"/><Relationship Id="rId21" Type="http://schemas.openxmlformats.org/officeDocument/2006/relationships/hyperlink" Target="https://drive.google.com/uc?id=1Y6NRtGDmtQIUpTCDgqU5pd78VkCFNVZ0" TargetMode="External"/><Relationship Id="rId24" Type="http://schemas.openxmlformats.org/officeDocument/2006/relationships/hyperlink" Target="https://tempfile.aiquickdraw.com/images/chatgpt/file_00000000b308720cb55b7f6f444b7a44.png" TargetMode="External"/><Relationship Id="rId23" Type="http://schemas.openxmlformats.org/officeDocument/2006/relationships/hyperlink" Target="https://tempfile.redpandaai.co/kieai/11402406/athena-refs/style_ref.jpg" TargetMode="External"/><Relationship Id="rId409" Type="http://schemas.openxmlformats.org/officeDocument/2006/relationships/hyperlink" Target="https://drive.google.com/uc?id=1gNLP7v2yUiSrWnYnARt_jllLrDcJyz9R" TargetMode="External"/><Relationship Id="rId404" Type="http://schemas.openxmlformats.org/officeDocument/2006/relationships/hyperlink" Target="https://tempfile.aiquickdraw.com/images/chatgpt/file_00000000ff30822f946db37b01ceec19.png" TargetMode="External"/><Relationship Id="rId403" Type="http://schemas.openxmlformats.org/officeDocument/2006/relationships/hyperlink" Target="https://tempfile.redpandaai.co/kieai/11402406/athena-refs/style_ref.jpg" TargetMode="External"/><Relationship Id="rId402" Type="http://schemas.openxmlformats.org/officeDocument/2006/relationships/hyperlink" Target="https://res.cloudinary.com/a1irmvxv/image/upload/f_auto,q_auto/ChatGPT_Image_Jun_24_2026_02_26_06_PM_x1isth" TargetMode="External"/><Relationship Id="rId401" Type="http://schemas.openxmlformats.org/officeDocument/2006/relationships/hyperlink" Target="https://drive.google.com/uc?id=1NRvjxDX2LhO3xNZ0hjI8GO1EZ7zab9e3" TargetMode="External"/><Relationship Id="rId408" Type="http://schemas.openxmlformats.org/officeDocument/2006/relationships/hyperlink" Target="https://tempfile.aiquickdraw.com/images/chatgpt/file_00000000a80081f69c3b3c0515b679e5.png" TargetMode="External"/><Relationship Id="rId407" Type="http://schemas.openxmlformats.org/officeDocument/2006/relationships/hyperlink" Target="https://tempfile.redpandaai.co/kieai/11402406/athena-refs/style_ref.jpg" TargetMode="External"/><Relationship Id="rId406" Type="http://schemas.openxmlformats.org/officeDocument/2006/relationships/hyperlink" Target="https://res.cloudinary.com/a1irmvxv/image/upload/f_auto,q_auto/ChatGPT_Image_Jun_24_2026_02_26_06_PM_x1isth" TargetMode="External"/><Relationship Id="rId405" Type="http://schemas.openxmlformats.org/officeDocument/2006/relationships/hyperlink" Target="https://drive.google.com/uc?id=1Y-Zfp8zgHghSaoO-na96xDCyEzWJCcR_" TargetMode="External"/><Relationship Id="rId26" Type="http://schemas.openxmlformats.org/officeDocument/2006/relationships/hyperlink" Target="https://res.cloudinary.com/a1irmvxv/image/upload/f_auto,q_auto/ChatGPT_Image_Jul_13_2026_02_32_35_PM_wx14ep" TargetMode="External"/><Relationship Id="rId25" Type="http://schemas.openxmlformats.org/officeDocument/2006/relationships/hyperlink" Target="https://drive.google.com/uc?id=1A5L4Yt5tpuT0AXDZXbMQwDaAyOuV3qaQ" TargetMode="External"/><Relationship Id="rId28" Type="http://schemas.openxmlformats.org/officeDocument/2006/relationships/hyperlink" Target="https://tempfile.aiquickdraw.com/images/chatgpt/file_00000000cf80720c920928e2e2a07c10.png" TargetMode="External"/><Relationship Id="rId27" Type="http://schemas.openxmlformats.org/officeDocument/2006/relationships/hyperlink" Target="https://tempfile.redpandaai.co/kieai/11402406/athena-refs/style_ref.jpg" TargetMode="External"/><Relationship Id="rId400" Type="http://schemas.openxmlformats.org/officeDocument/2006/relationships/hyperlink" Target="https://tempfile.aiquickdraw.com/images/chatgpt/file_00000000893c820c81caaa214d59471f.png" TargetMode="External"/><Relationship Id="rId29" Type="http://schemas.openxmlformats.org/officeDocument/2006/relationships/hyperlink" Target="https://drive.google.com/uc?id=109gBhPKLZ7CUpSPuki-t71akx5xBVhjw" TargetMode="External"/><Relationship Id="rId11" Type="http://schemas.openxmlformats.org/officeDocument/2006/relationships/hyperlink" Target="https://tempfile.aiquickdraw.com/images/chatgpt/file_000000002168722fb2d34681fd0ceb6e.png" TargetMode="External"/><Relationship Id="rId10" Type="http://schemas.openxmlformats.org/officeDocument/2006/relationships/hyperlink" Target="https://tempfile.redpandaai.co/kieai/11402406/athena-refs/style_ref.jpg" TargetMode="External"/><Relationship Id="rId13" Type="http://schemas.openxmlformats.org/officeDocument/2006/relationships/hyperlink" Target="https://drive.google.com/uc?id=1RoYL0-FdR0okT1CV-_ZE3797vGqHqETV%22" TargetMode="External"/><Relationship Id="rId12" Type="http://schemas.openxmlformats.org/officeDocument/2006/relationships/hyperlink" Target="https://drive.google.com/uc?id=1WC_fkf5LoF-1-3s6sPB48LVswkwD1OEl" TargetMode="External"/><Relationship Id="rId15" Type="http://schemas.openxmlformats.org/officeDocument/2006/relationships/hyperlink" Target="https://tempfile.redpandaai.co/kieai/11402406/athena-refs/style_ref.jpg" TargetMode="External"/><Relationship Id="rId14" Type="http://schemas.openxmlformats.org/officeDocument/2006/relationships/hyperlink" Target="https://res.cloudinary.com/a1irmvxv/image/upload/f_auto,q_auto/ChatGPT_Image_Jul_13_2026_02_32_35_PM_wx14ep" TargetMode="External"/><Relationship Id="rId17" Type="http://schemas.openxmlformats.org/officeDocument/2006/relationships/hyperlink" Target="https://drive.google.com/uc?id=1J2kf8Cb7CEpYXJoH3BS_7VnM5zVRPdq_" TargetMode="External"/><Relationship Id="rId16" Type="http://schemas.openxmlformats.org/officeDocument/2006/relationships/hyperlink" Target="https://tempfile.aiquickdraw.com/images/chatgpt/file_0000000068ac71f58ee5372029af1a05.png" TargetMode="External"/><Relationship Id="rId19" Type="http://schemas.openxmlformats.org/officeDocument/2006/relationships/hyperlink" Target="https://tempfile.redpandaai.co/kieai/11402406/athena-refs/style_ref.jpg" TargetMode="External"/><Relationship Id="rId18" Type="http://schemas.openxmlformats.org/officeDocument/2006/relationships/hyperlink" Target="https://res.cloudinary.com/a1irmvxv/image/upload/f_auto,q_auto/ChatGPT_Image_Jul_13_2026_02_32_35_PM_wx14ep" TargetMode="External"/><Relationship Id="rId84" Type="http://schemas.openxmlformats.org/officeDocument/2006/relationships/hyperlink" Target="https://tempfile.aiquickdraw.com/images/chatgpt/file_0000000015f071f595119d98a1e2bf2b.png" TargetMode="External"/><Relationship Id="rId83" Type="http://schemas.openxmlformats.org/officeDocument/2006/relationships/hyperlink" Target="https://tempfile.redpandaai.co/kieai/11402406/athena-refs/style_ref.jpg" TargetMode="External"/><Relationship Id="rId86" Type="http://schemas.openxmlformats.org/officeDocument/2006/relationships/hyperlink" Target="https://res.cloudinary.com/a1irmvxv/image/upload/f_auto,q_auto/ChatGPT_Image_Jun_24_2026_02_27_36_PM_avlrpn" TargetMode="External"/><Relationship Id="rId85" Type="http://schemas.openxmlformats.org/officeDocument/2006/relationships/hyperlink" Target="https://drive.google.com/uc?id=1ytQiJJXh4295OKriw7M2JDmescijXyUY" TargetMode="External"/><Relationship Id="rId88" Type="http://schemas.openxmlformats.org/officeDocument/2006/relationships/hyperlink" Target="https://tempfile.aiquickdraw.com/images/chatgpt/file_000000000c3471f584d4c90493ed0a04.png" TargetMode="External"/><Relationship Id="rId87" Type="http://schemas.openxmlformats.org/officeDocument/2006/relationships/hyperlink" Target="https://tempfile.redpandaai.co/kieai/11402406/athena-refs/style_ref.jpg" TargetMode="External"/><Relationship Id="rId89" Type="http://schemas.openxmlformats.org/officeDocument/2006/relationships/hyperlink" Target="https://drive.google.com/uc?id=1Ur12ZOQunHUze7V2SnkQ_9n8vnX4bwcC" TargetMode="External"/><Relationship Id="rId80" Type="http://schemas.openxmlformats.org/officeDocument/2006/relationships/hyperlink" Target="https://tempfile.aiquickdraw.com/images/chatgpt/file_00000000575471f5b4cc1d19999713e8.png" TargetMode="External"/><Relationship Id="rId82" Type="http://schemas.openxmlformats.org/officeDocument/2006/relationships/hyperlink" Target="https://res.cloudinary.com/a1irmvxv/image/upload/f_auto,q_auto/hf_20260630_002349_744b79a7-84f6-4760-9bb8-95a9d0e040e3_1_jnwc44" TargetMode="External"/><Relationship Id="rId81" Type="http://schemas.openxmlformats.org/officeDocument/2006/relationships/hyperlink" Target="https://drive.google.com/uc?id=1KGIdPh3dKlnuumvkcGkB4NdrN3-Ycf3k" TargetMode="External"/><Relationship Id="rId73" Type="http://schemas.openxmlformats.org/officeDocument/2006/relationships/hyperlink" Target="https://drive.google.com/uc?id=1CQym4nGzVI4Ln7VDzRRsvfZWoe42KM3f" TargetMode="External"/><Relationship Id="rId72" Type="http://schemas.openxmlformats.org/officeDocument/2006/relationships/hyperlink" Target="https://tempfile.aiquickdraw.com/images/chatgpt/file_0000000094b471fb934d8b2d8bcbce73.png" TargetMode="External"/><Relationship Id="rId75" Type="http://schemas.openxmlformats.org/officeDocument/2006/relationships/hyperlink" Target="https://tempfile.redpandaai.co/kieai/11402406/athena-refs/style_ref.jpg" TargetMode="External"/><Relationship Id="rId74" Type="http://schemas.openxmlformats.org/officeDocument/2006/relationships/hyperlink" Target="https://res.cloudinary.com/a1irmvxv/image/upload/f_auto,q_auto/hf_20260630_002349_744b79a7-84f6-4760-9bb8-95a9d0e040e3_1_jnwc44" TargetMode="External"/><Relationship Id="rId77" Type="http://schemas.openxmlformats.org/officeDocument/2006/relationships/hyperlink" Target="https://drive.google.com/uc?id=1EgZXIi16Sv4Fsy2P1_pU6AHL6abBtQku" TargetMode="External"/><Relationship Id="rId76" Type="http://schemas.openxmlformats.org/officeDocument/2006/relationships/hyperlink" Target="https://tempfile.aiquickdraw.com/images/chatgpt/file_00000000082471f598eb8043f40701e8.png" TargetMode="External"/><Relationship Id="rId79" Type="http://schemas.openxmlformats.org/officeDocument/2006/relationships/hyperlink" Target="https://tempfile.redpandaai.co/kieai/11402406/athena-refs/style_ref.jpg" TargetMode="External"/><Relationship Id="rId78" Type="http://schemas.openxmlformats.org/officeDocument/2006/relationships/hyperlink" Target="https://res.cloudinary.com/a1irmvxv/image/upload/f_auto,q_auto/hf_20260630_002349_744b79a7-84f6-4760-9bb8-95a9d0e040e3_1_jnwc44" TargetMode="External"/><Relationship Id="rId71" Type="http://schemas.openxmlformats.org/officeDocument/2006/relationships/hyperlink" Target="https://tempfile.redpandaai.co/kieai/11402406/athena-refs/style_ref.jpg" TargetMode="External"/><Relationship Id="rId70" Type="http://schemas.openxmlformats.org/officeDocument/2006/relationships/hyperlink" Target="https://res.cloudinary.com/a1irmvxv/image/upload/f_auto,q_auto/hf_20260630_002349_744b79a7-84f6-4760-9bb8-95a9d0e040e3_1_jnwc44" TargetMode="External"/><Relationship Id="rId62" Type="http://schemas.openxmlformats.org/officeDocument/2006/relationships/hyperlink" Target="https://res.cloudinary.com/a1irmvxv/image/upload/f_auto,q_auto/hf_20260630_002349_744b79a7-84f6-4760-9bb8-95a9d0e040e3_1_jnwc44" TargetMode="External"/><Relationship Id="rId61" Type="http://schemas.openxmlformats.org/officeDocument/2006/relationships/hyperlink" Target="https://drive.google.com/uc?id=1z1r-BppxMKEg-MMC-JJspDJqEMlVZYCv" TargetMode="External"/><Relationship Id="rId64" Type="http://schemas.openxmlformats.org/officeDocument/2006/relationships/hyperlink" Target="https://tempfile.aiquickdraw.com/images/chatgpt/file_00000000d82c71f58dd359bf039029b4.png" TargetMode="External"/><Relationship Id="rId63" Type="http://schemas.openxmlformats.org/officeDocument/2006/relationships/hyperlink" Target="https://tempfile.redpandaai.co/kieai/11402406/athena-refs/style_ref.jpg" TargetMode="External"/><Relationship Id="rId66" Type="http://schemas.openxmlformats.org/officeDocument/2006/relationships/hyperlink" Target="https://res.cloudinary.com/a1irmvxv/image/upload/f_auto,q_auto/hf_20260630_002349_744b79a7-84f6-4760-9bb8-95a9d0e040e3_1_jnwc44" TargetMode="External"/><Relationship Id="rId65" Type="http://schemas.openxmlformats.org/officeDocument/2006/relationships/hyperlink" Target="https://drive.google.com/uc?id=1fCjDFQs9v0baMrly6Ck4CbGOLNnmfkUr" TargetMode="External"/><Relationship Id="rId68" Type="http://schemas.openxmlformats.org/officeDocument/2006/relationships/hyperlink" Target="https://tempfile.aiquickdraw.com/images/chatgpt/file_00000000120471fd940a42fa0621e62b.png" TargetMode="External"/><Relationship Id="rId67" Type="http://schemas.openxmlformats.org/officeDocument/2006/relationships/hyperlink" Target="https://tempfile.redpandaai.co/kieai/11402406/athena-refs/style_ref.jpg" TargetMode="External"/><Relationship Id="rId60" Type="http://schemas.openxmlformats.org/officeDocument/2006/relationships/hyperlink" Target="https://tempfile.aiquickdraw.com/images/chatgpt/bc30c87324365c7ab5da63b121d61cc5_8c376ff94be94fbb8b663a0919adacf6.png" TargetMode="External"/><Relationship Id="rId69" Type="http://schemas.openxmlformats.org/officeDocument/2006/relationships/hyperlink" Target="https://drive.google.com/uc?id=1dOWX1f_hzv31hPIJSsKaTMTd44pmr8rc" TargetMode="External"/><Relationship Id="rId51" Type="http://schemas.openxmlformats.org/officeDocument/2006/relationships/hyperlink" Target="https://tempfile.redpandaai.co/kieai/11402406/athena-refs/style_ref.jpg" TargetMode="External"/><Relationship Id="rId50" Type="http://schemas.openxmlformats.org/officeDocument/2006/relationships/hyperlink" Target="https://res.cloudinary.com/a1irmvxv/image/upload/f_auto,q_auto/ChatGPT_Image_Jul_13_2026_02_32_35_PM_wx14ep" TargetMode="External"/><Relationship Id="rId53" Type="http://schemas.openxmlformats.org/officeDocument/2006/relationships/hyperlink" Target="https://drive.google.com/uc?id=1M9asYKpO46bvcdqPMJjAgSp8LVbeRykh" TargetMode="External"/><Relationship Id="rId52" Type="http://schemas.openxmlformats.org/officeDocument/2006/relationships/hyperlink" Target="https://tempfile.aiquickdraw.com/images/chatgpt/file_00000000890871f69ee0e669b8e16b22.png" TargetMode="External"/><Relationship Id="rId55" Type="http://schemas.openxmlformats.org/officeDocument/2006/relationships/hyperlink" Target="https://tempfile.redpandaai.co/kieai/11402406/athena-refs/style_ref.jpg" TargetMode="External"/><Relationship Id="rId54" Type="http://schemas.openxmlformats.org/officeDocument/2006/relationships/hyperlink" Target="https://res.cloudinary.com/a1irmvxv/image/upload/f_auto,q_auto/hf_20260630_002349_744b79a7-84f6-4760-9bb8-95a9d0e040e3_1_jnwc44" TargetMode="External"/><Relationship Id="rId57" Type="http://schemas.openxmlformats.org/officeDocument/2006/relationships/hyperlink" Target="https://drive.google.com/uc?id=1cTMMIm-Rd2r5NIGmlo1_3tLtWFUcG9Hz" TargetMode="External"/><Relationship Id="rId56" Type="http://schemas.openxmlformats.org/officeDocument/2006/relationships/hyperlink" Target="https://tempfile.aiquickdraw.com/images/chatgpt/file_000000007a0871fdbd01d1771bf43b0e.png" TargetMode="External"/><Relationship Id="rId59" Type="http://schemas.openxmlformats.org/officeDocument/2006/relationships/hyperlink" Target="https://tempfile.redpandaai.co/kieai/11402406/athena-refs/style_ref.jpg" TargetMode="External"/><Relationship Id="rId58" Type="http://schemas.openxmlformats.org/officeDocument/2006/relationships/hyperlink" Target="https://res.cloudinary.com/a1irmvxv/image/upload/f_auto,q_auto/hf_20260630_002349_744b79a7-84f6-4760-9bb8-95a9d0e040e3_1_jnwc44" TargetMode="External"/><Relationship Id="rId107" Type="http://schemas.openxmlformats.org/officeDocument/2006/relationships/hyperlink" Target="https://tempfile.redpandaai.co/kieai/11402406/athena-refs/style_ref.jpg" TargetMode="External"/><Relationship Id="rId228" Type="http://schemas.openxmlformats.org/officeDocument/2006/relationships/hyperlink" Target="https://tempfile.aiquickdraw.com/images/chatgpt/file_00000000b40471f584538fd2bdfe245b.png" TargetMode="External"/><Relationship Id="rId349" Type="http://schemas.openxmlformats.org/officeDocument/2006/relationships/hyperlink" Target="https://drive.google.com/uc?id=1RcenUgdXXOG5jyzQghL683jv8RGTEezB" TargetMode="External"/><Relationship Id="rId106" Type="http://schemas.openxmlformats.org/officeDocument/2006/relationships/hyperlink" Target="https://res.cloudinary.com/a1irmvxv/image/upload/f_auto,q_auto/ChatGPT_Image_Jun_24_2026_02_27_36_PM_avlrpn" TargetMode="External"/><Relationship Id="rId227" Type="http://schemas.openxmlformats.org/officeDocument/2006/relationships/hyperlink" Target="https://tempfile.redpandaai.co/kieai/11402406/athena-refs/style_ref.jpg" TargetMode="External"/><Relationship Id="rId348" Type="http://schemas.openxmlformats.org/officeDocument/2006/relationships/hyperlink" Target="https://tempfile.aiquickdraw.com/images/chatgpt/file_000000009468820ca63d19c893b77a54.png" TargetMode="External"/><Relationship Id="rId105" Type="http://schemas.openxmlformats.org/officeDocument/2006/relationships/hyperlink" Target="https://drive.google.com/uc?id=1qoJNYYcQOcAyYXvqpK9g7vbYnKjREQzq" TargetMode="External"/><Relationship Id="rId226" Type="http://schemas.openxmlformats.org/officeDocument/2006/relationships/hyperlink" Target="https://res.cloudinary.com/a1irmvxv/image/upload/f_auto,q_auto/ChatGPT_Image_Jul_13_2026_02_32_35_PM_wx14ep" TargetMode="External"/><Relationship Id="rId347" Type="http://schemas.openxmlformats.org/officeDocument/2006/relationships/hyperlink" Target="https://tempfile.redpandaai.co/kieai/11402406/athena-refs/style_ref.jpg" TargetMode="External"/><Relationship Id="rId104" Type="http://schemas.openxmlformats.org/officeDocument/2006/relationships/hyperlink" Target="https://tempfile.aiquickdraw.com/images/chatgpt/file_000000004ad471f596f04c75d1752262.png" TargetMode="External"/><Relationship Id="rId225" Type="http://schemas.openxmlformats.org/officeDocument/2006/relationships/hyperlink" Target="https://drive.google.com/uc?id=1bf_t3vogWRHTabX4kt6HS1jT8zkzvbJF" TargetMode="External"/><Relationship Id="rId346" Type="http://schemas.openxmlformats.org/officeDocument/2006/relationships/hyperlink" Target="https://res.cloudinary.com/a1irmvxv/image/upload/f_auto,q_auto/ChatGPT_Image_Jul_13_2026_02_32_35_PM_wx14ep" TargetMode="External"/><Relationship Id="rId109" Type="http://schemas.openxmlformats.org/officeDocument/2006/relationships/hyperlink" Target="https://drive.google.com/uc?id=1bnLhXbz_5EBH3Kofl6YsdlRA72OaN229" TargetMode="External"/><Relationship Id="rId108" Type="http://schemas.openxmlformats.org/officeDocument/2006/relationships/hyperlink" Target="https://tempfile.aiquickdraw.com/images/chatgpt/file_00000000a90471f59dde1204d0f49325.png" TargetMode="External"/><Relationship Id="rId229" Type="http://schemas.openxmlformats.org/officeDocument/2006/relationships/hyperlink" Target="https://drive.google.com/uc?id=1dAqnbNtJizvfaX-ZF81EJByXF9qwy46B" TargetMode="External"/><Relationship Id="rId220" Type="http://schemas.openxmlformats.org/officeDocument/2006/relationships/hyperlink" Target="https://tempfile.aiquickdraw.com/images/chatgpt/file_00000000e500722fb5c7f13f76f5eb46.png" TargetMode="External"/><Relationship Id="rId341" Type="http://schemas.openxmlformats.org/officeDocument/2006/relationships/hyperlink" Target="https://drive.google.com/uc?id=1eeP7pdNwA2Hl7dqvxekbNNHSrsyB4oqa" TargetMode="External"/><Relationship Id="rId340" Type="http://schemas.openxmlformats.org/officeDocument/2006/relationships/hyperlink" Target="https://tempfile.aiquickdraw.com/images/chatgpt/file_0000000089a481f7b149f3af5797f1b8.png" TargetMode="External"/><Relationship Id="rId103" Type="http://schemas.openxmlformats.org/officeDocument/2006/relationships/hyperlink" Target="https://tempfile.redpandaai.co/kieai/11402406/athena-refs/style_ref.jpg" TargetMode="External"/><Relationship Id="rId224" Type="http://schemas.openxmlformats.org/officeDocument/2006/relationships/hyperlink" Target="https://tempfile.aiquickdraw.com/images/chatgpt/file_00000000e18871f6b9ee581182ed194d.png" TargetMode="External"/><Relationship Id="rId345" Type="http://schemas.openxmlformats.org/officeDocument/2006/relationships/hyperlink" Target="https://drive.google.com/uc?id=17rPBiaZp0VKCCM9vyWuGarPq5CTzQiDJ" TargetMode="External"/><Relationship Id="rId102" Type="http://schemas.openxmlformats.org/officeDocument/2006/relationships/hyperlink" Target="https://res.cloudinary.com/a1irmvxv/image/upload/f_auto,q_auto/ChatGPT_Image_Jun_24_2026_02_27_36_PM_avlrpn" TargetMode="External"/><Relationship Id="rId223" Type="http://schemas.openxmlformats.org/officeDocument/2006/relationships/hyperlink" Target="https://tempfile.redpandaai.co/kieai/11402406/athena-refs/style_ref.jpg" TargetMode="External"/><Relationship Id="rId344" Type="http://schemas.openxmlformats.org/officeDocument/2006/relationships/hyperlink" Target="https://tempfile.aiquickdraw.com/images/chatgpt/file_000000000fc0822f89ca0738d4995c8f.png" TargetMode="External"/><Relationship Id="rId101" Type="http://schemas.openxmlformats.org/officeDocument/2006/relationships/hyperlink" Target="https://drive.google.com/uc?id=1X0hT5NlDkBvTNS_WOStaX30kWNOWYP9D" TargetMode="External"/><Relationship Id="rId222" Type="http://schemas.openxmlformats.org/officeDocument/2006/relationships/hyperlink" Target="https://res.cloudinary.com/a1irmvxv/image/upload/f_auto,q_auto/ChatGPT_Image_Jul_13_2026_02_32_35_PM_wx14ep" TargetMode="External"/><Relationship Id="rId343" Type="http://schemas.openxmlformats.org/officeDocument/2006/relationships/hyperlink" Target="https://tempfile.redpandaai.co/kieai/11402406/athena-refs/style_ref.jpg" TargetMode="External"/><Relationship Id="rId100" Type="http://schemas.openxmlformats.org/officeDocument/2006/relationships/hyperlink" Target="https://tempfile.aiquickdraw.com/images/chatgpt/file_00000000e6e471f68f41dc58836b90fb.png" TargetMode="External"/><Relationship Id="rId221" Type="http://schemas.openxmlformats.org/officeDocument/2006/relationships/hyperlink" Target="https://drive.google.com/uc?id=1T72vne-xBZEbnSSkyTor_PAhOiOtJyNp" TargetMode="External"/><Relationship Id="rId342" Type="http://schemas.openxmlformats.org/officeDocument/2006/relationships/hyperlink" Target="https://res.cloudinary.com/a1irmvxv/image/upload/f_auto,q_auto/ChatGPT_Image_Jul_13_2026_02_32_35_PM_wx14ep" TargetMode="External"/><Relationship Id="rId217" Type="http://schemas.openxmlformats.org/officeDocument/2006/relationships/hyperlink" Target="https://drive.google.com/uc?id=1vn_i7DYUWLlJC0xtuZgv7xPgc2Eq5K--" TargetMode="External"/><Relationship Id="rId338" Type="http://schemas.openxmlformats.org/officeDocument/2006/relationships/hyperlink" Target="https://res.cloudinary.com/a1irmvxv/image/upload/f_auto,q_auto/ChatGPT_Image_Jul_13_2026_02_32_35_PM_wx14ep" TargetMode="External"/><Relationship Id="rId216" Type="http://schemas.openxmlformats.org/officeDocument/2006/relationships/hyperlink" Target="https://tempfile.aiquickdraw.com/images/chatgpt/file_000000001cc071fd9be885182b132e50.png" TargetMode="External"/><Relationship Id="rId337" Type="http://schemas.openxmlformats.org/officeDocument/2006/relationships/hyperlink" Target="https://drive.google.com/uc?id=1SHyHQrss6hpg7gSWoCtN9LkiVjwTayD1" TargetMode="External"/><Relationship Id="rId215" Type="http://schemas.openxmlformats.org/officeDocument/2006/relationships/hyperlink" Target="https://tempfile.redpandaai.co/kieai/11402406/athena-refs/style_ref.jpg" TargetMode="External"/><Relationship Id="rId336" Type="http://schemas.openxmlformats.org/officeDocument/2006/relationships/hyperlink" Target="https://tempfile.aiquickdraw.com/images/chatgpt/file_00000000e788822fad0128e40867ff4f.png" TargetMode="External"/><Relationship Id="rId214" Type="http://schemas.openxmlformats.org/officeDocument/2006/relationships/hyperlink" Target="https://res.cloudinary.com/a1irmvxv/image/upload/f_auto,q_auto/hf_20260630_003148_8cdf9166-5c23-4c3d-8c7f-cf7f872a39ce_xgls2u" TargetMode="External"/><Relationship Id="rId335" Type="http://schemas.openxmlformats.org/officeDocument/2006/relationships/hyperlink" Target="https://tempfile.redpandaai.co/kieai/11402406/athena-refs/style_ref.jpg" TargetMode="External"/><Relationship Id="rId219" Type="http://schemas.openxmlformats.org/officeDocument/2006/relationships/hyperlink" Target="https://tempfile.redpandaai.co/kieai/11402406/athena-refs/style_ref.jpg" TargetMode="External"/><Relationship Id="rId218" Type="http://schemas.openxmlformats.org/officeDocument/2006/relationships/hyperlink" Target="https://res.cloudinary.com/a1irmvxv/image/upload/f_auto,q_auto/ChatGPT_Image_Jul_13_2026_02_32_35_PM_wx14ep" TargetMode="External"/><Relationship Id="rId339" Type="http://schemas.openxmlformats.org/officeDocument/2006/relationships/hyperlink" Target="https://tempfile.redpandaai.co/kieai/11402406/athena-refs/style_ref.jpg" TargetMode="External"/><Relationship Id="rId330" Type="http://schemas.openxmlformats.org/officeDocument/2006/relationships/hyperlink" Target="https://res.cloudinary.com/a1irmvxv/image/upload/f_auto,q_auto/hf_20260630_003148_8cdf9166-5c23-4c3d-8c7f-cf7f872a39ce_xgls2u" TargetMode="External"/><Relationship Id="rId450" Type="http://schemas.openxmlformats.org/officeDocument/2006/relationships/drawing" Target="../drawings/drawing2.xml"/><Relationship Id="rId213" Type="http://schemas.openxmlformats.org/officeDocument/2006/relationships/hyperlink" Target="https://drive.google.com/uc?id=1DlQa4LcFBfNAQUjQb0DHqfYbyStlLgLc" TargetMode="External"/><Relationship Id="rId334" Type="http://schemas.openxmlformats.org/officeDocument/2006/relationships/hyperlink" Target="https://res.cloudinary.com/a1irmvxv/image/upload/f_auto,q_auto/hf_20260630_003148_8cdf9166-5c23-4c3d-8c7f-cf7f872a39ce_xgls2u" TargetMode="External"/><Relationship Id="rId212" Type="http://schemas.openxmlformats.org/officeDocument/2006/relationships/hyperlink" Target="https://tempfile.aiquickdraw.com/images/chatgpt/file_0000000044b8722f8fbe61d927503710.png" TargetMode="External"/><Relationship Id="rId333" Type="http://schemas.openxmlformats.org/officeDocument/2006/relationships/hyperlink" Target="https://drive.google.com/uc?id=1WetMA-KcTPlBB3XFeEimnVNLRjbjg8Th" TargetMode="External"/><Relationship Id="rId211" Type="http://schemas.openxmlformats.org/officeDocument/2006/relationships/hyperlink" Target="https://tempfile.redpandaai.co/kieai/11402406/athena-refs/style_ref.jpg" TargetMode="External"/><Relationship Id="rId332" Type="http://schemas.openxmlformats.org/officeDocument/2006/relationships/hyperlink" Target="https://tempfile.aiquickdraw.com/images/chatgpt/file_00000000f8a481f8ba05007ad797df80.png" TargetMode="External"/><Relationship Id="rId210" Type="http://schemas.openxmlformats.org/officeDocument/2006/relationships/hyperlink" Target="https://res.cloudinary.com/a1irmvxv/image/upload/f_auto,q_auto/hf_20260630_003148_8cdf9166-5c23-4c3d-8c7f-cf7f872a39ce_xgls2u" TargetMode="External"/><Relationship Id="rId331" Type="http://schemas.openxmlformats.org/officeDocument/2006/relationships/hyperlink" Target="https://tempfile.redpandaai.co/kieai/11402406/athena-refs/style_ref.jpg" TargetMode="External"/><Relationship Id="rId370" Type="http://schemas.openxmlformats.org/officeDocument/2006/relationships/hyperlink" Target="https://res.cloudinary.com/a1irmvxv/image/upload/f_auto,q_auto/ChatGPT_Image_Jul_13_2026_02_32_35_PM_wx14ep" TargetMode="External"/><Relationship Id="rId129" Type="http://schemas.openxmlformats.org/officeDocument/2006/relationships/hyperlink" Target="https://drive.google.com/uc?id=1IJVRtWx-6xfiYnJ_w0QKWG83u1bD5MJt" TargetMode="External"/><Relationship Id="rId128" Type="http://schemas.openxmlformats.org/officeDocument/2006/relationships/hyperlink" Target="https://tempfile.aiquickdraw.com/images/chatgpt/file_000000004124722fbe3e9127f1c08987.png" TargetMode="External"/><Relationship Id="rId249" Type="http://schemas.openxmlformats.org/officeDocument/2006/relationships/hyperlink" Target="https://drive.google.com/uc?id=1HAEuNx8s9X2J6rFggRkgVYbyrT_6J_dm" TargetMode="External"/><Relationship Id="rId127" Type="http://schemas.openxmlformats.org/officeDocument/2006/relationships/hyperlink" Target="https://tempfile.redpandaai.co/kieai/11402406/athena-refs/style_ref.jpg" TargetMode="External"/><Relationship Id="rId248" Type="http://schemas.openxmlformats.org/officeDocument/2006/relationships/hyperlink" Target="https://tempfile.aiquickdraw.com/images/chatgpt/file_00000000197871f586cdf23e673d09ed.png" TargetMode="External"/><Relationship Id="rId369" Type="http://schemas.openxmlformats.org/officeDocument/2006/relationships/hyperlink" Target="https://drive.google.com/uc?id=1JUlybPXawkvqzyfem5Cw2AlLgSQFB-Oe" TargetMode="External"/><Relationship Id="rId126" Type="http://schemas.openxmlformats.org/officeDocument/2006/relationships/hyperlink" Target="https://res.cloudinary.com/a1irmvxv/image/upload/f_auto,q_auto/hf_20260630_003148_8cdf9166-5c23-4c3d-8c7f-cf7f872a39ce_xgls2u" TargetMode="External"/><Relationship Id="rId247" Type="http://schemas.openxmlformats.org/officeDocument/2006/relationships/hyperlink" Target="https://tempfile.redpandaai.co/kieai/11402406/athena-refs/style_ref.jpg" TargetMode="External"/><Relationship Id="rId368" Type="http://schemas.openxmlformats.org/officeDocument/2006/relationships/hyperlink" Target="https://tempfile.aiquickdraw.com/images/chatgpt/file_00000000ad1081f584d9c6334814c8f7.png" TargetMode="External"/><Relationship Id="rId121" Type="http://schemas.openxmlformats.org/officeDocument/2006/relationships/hyperlink" Target="https://drive.google.com/uc?id=1vbLKasCrw13RGFBdXU8_UrWazvq71aT-" TargetMode="External"/><Relationship Id="rId242" Type="http://schemas.openxmlformats.org/officeDocument/2006/relationships/hyperlink" Target="https://res.cloudinary.com/a1irmvxv/image/upload/f_auto,q_auto/ChatGPT_Image_Jul_13_2026_02_32_35_PM_wx14ep" TargetMode="External"/><Relationship Id="rId363" Type="http://schemas.openxmlformats.org/officeDocument/2006/relationships/hyperlink" Target="https://tempfile.redpandaai.co/kieai/11402406/athena-refs/style_ref.jpg" TargetMode="External"/><Relationship Id="rId120" Type="http://schemas.openxmlformats.org/officeDocument/2006/relationships/hyperlink" Target="https://tempfile.aiquickdraw.com/images/chatgpt/file_00000000274471f595e9083061fa151a.png" TargetMode="External"/><Relationship Id="rId241" Type="http://schemas.openxmlformats.org/officeDocument/2006/relationships/hyperlink" Target="https://drive.google.com/uc?id=1f_FofslG-0XbNc1rBPzqW938t2FMsXed" TargetMode="External"/><Relationship Id="rId362" Type="http://schemas.openxmlformats.org/officeDocument/2006/relationships/hyperlink" Target="https://res.cloudinary.com/a1irmvxv/image/upload/f_auto,q_auto/ChatGPT_Image_Jul_13_2026_02_32_35_PM_wx14ep" TargetMode="External"/><Relationship Id="rId240" Type="http://schemas.openxmlformats.org/officeDocument/2006/relationships/hyperlink" Target="https://tempfile.aiquickdraw.com/images/chatgpt/file_000000000e9c7230b61712218ddb68e9.png" TargetMode="External"/><Relationship Id="rId361" Type="http://schemas.openxmlformats.org/officeDocument/2006/relationships/hyperlink" Target="https://drive.google.com/uc?id=1WBFcOI4E9unDmTCCfst5o-rnVYzb7F_Q" TargetMode="External"/><Relationship Id="rId360" Type="http://schemas.openxmlformats.org/officeDocument/2006/relationships/hyperlink" Target="https://tempfile.aiquickdraw.com/images/chatgpt/file_00000000c2d081f6be484db3509c5e2b.png" TargetMode="External"/><Relationship Id="rId125" Type="http://schemas.openxmlformats.org/officeDocument/2006/relationships/hyperlink" Target="https://drive.google.com/uc?id=1oJpskGqO0DDMVakAG9VavjIaRVe9CjbS" TargetMode="External"/><Relationship Id="rId246" Type="http://schemas.openxmlformats.org/officeDocument/2006/relationships/hyperlink" Target="https://res.cloudinary.com/a1irmvxv/image/upload/f_auto,q_auto/ChatGPT_Image_Jul_13_2026_02_32_35_PM_wx14ep" TargetMode="External"/><Relationship Id="rId367" Type="http://schemas.openxmlformats.org/officeDocument/2006/relationships/hyperlink" Target="https://tempfile.redpandaai.co/kieai/11402406/athena-refs/style_ref.jpg" TargetMode="External"/><Relationship Id="rId124" Type="http://schemas.openxmlformats.org/officeDocument/2006/relationships/hyperlink" Target="https://tempfile.aiquickdraw.com/images/chatgpt/file_000000000500722f9a09e159e69e0aa3.png" TargetMode="External"/><Relationship Id="rId245" Type="http://schemas.openxmlformats.org/officeDocument/2006/relationships/hyperlink" Target="https://drive.google.com/uc?id=1P0nG4IC-Yn6xdLpQnDDQXTUw2b8j3jZm" TargetMode="External"/><Relationship Id="rId366" Type="http://schemas.openxmlformats.org/officeDocument/2006/relationships/hyperlink" Target="https://res.cloudinary.com/a1irmvxv/image/upload/f_auto,q_auto/ChatGPT_Image_Jul_13_2026_02_32_35_PM_wx14ep" TargetMode="External"/><Relationship Id="rId123" Type="http://schemas.openxmlformats.org/officeDocument/2006/relationships/hyperlink" Target="https://tempfile.redpandaai.co/kieai/11402406/athena-refs/style_ref.jpg" TargetMode="External"/><Relationship Id="rId244" Type="http://schemas.openxmlformats.org/officeDocument/2006/relationships/hyperlink" Target="https://tempfile.aiquickdraw.com/images/chatgpt/file_00000000a29871f58276527aa374cd82.png" TargetMode="External"/><Relationship Id="rId365" Type="http://schemas.openxmlformats.org/officeDocument/2006/relationships/hyperlink" Target="https://drive.google.com/uc?id=1SMsbS_LD729RPrwMwN4Lb_Ua3JqsAmoS" TargetMode="External"/><Relationship Id="rId122" Type="http://schemas.openxmlformats.org/officeDocument/2006/relationships/hyperlink" Target="https://res.cloudinary.com/a1irmvxv/image/upload/f_auto,q_auto/hf_20260630_003148_8cdf9166-5c23-4c3d-8c7f-cf7f872a39ce_xgls2u" TargetMode="External"/><Relationship Id="rId243" Type="http://schemas.openxmlformats.org/officeDocument/2006/relationships/hyperlink" Target="https://tempfile.redpandaai.co/kieai/11402406/athena-refs/style_ref.jpg" TargetMode="External"/><Relationship Id="rId364" Type="http://schemas.openxmlformats.org/officeDocument/2006/relationships/hyperlink" Target="https://tempfile.aiquickdraw.com/images/chatgpt/file_000000007a1c81f7b28eaa441f910460.png" TargetMode="External"/><Relationship Id="rId95" Type="http://schemas.openxmlformats.org/officeDocument/2006/relationships/hyperlink" Target="https://tempfile.redpandaai.co/kieai/11402406/athena-refs/style_ref.jpg" TargetMode="External"/><Relationship Id="rId94" Type="http://schemas.openxmlformats.org/officeDocument/2006/relationships/hyperlink" Target="https://res.cloudinary.com/a1irmvxv/image/upload/f_auto,q_auto/ChatGPT_Image_Jun_24_2026_02_27_36_PM_avlrpn" TargetMode="External"/><Relationship Id="rId97" Type="http://schemas.openxmlformats.org/officeDocument/2006/relationships/hyperlink" Target="https://drive.google.com/uc?id=1DuNK1hvj6hiqW9cGaCR-G1wC_doeCnyV" TargetMode="External"/><Relationship Id="rId96" Type="http://schemas.openxmlformats.org/officeDocument/2006/relationships/hyperlink" Target="https://tempfile.aiquickdraw.com/images/chatgpt/file_000000003fd071f6bc8aacae61f22abd.png" TargetMode="External"/><Relationship Id="rId99" Type="http://schemas.openxmlformats.org/officeDocument/2006/relationships/hyperlink" Target="https://tempfile.redpandaai.co/kieai/11402406/athena-refs/style_ref.jpg" TargetMode="External"/><Relationship Id="rId98" Type="http://schemas.openxmlformats.org/officeDocument/2006/relationships/hyperlink" Target="https://res.cloudinary.com/a1irmvxv/image/upload/f_auto,q_auto/ChatGPT_Image_Jun_24_2026_02_27_36_PM_avlrpn" TargetMode="External"/><Relationship Id="rId91" Type="http://schemas.openxmlformats.org/officeDocument/2006/relationships/hyperlink" Target="https://tempfile.redpandaai.co/kieai/11402406/athena-refs/style_ref.jpg" TargetMode="External"/><Relationship Id="rId90" Type="http://schemas.openxmlformats.org/officeDocument/2006/relationships/hyperlink" Target="https://res.cloudinary.com/a1irmvxv/image/upload/f_auto,q_auto/ChatGPT_Image_Jun_24_2026_02_27_36_PM_avlrpn" TargetMode="External"/><Relationship Id="rId93" Type="http://schemas.openxmlformats.org/officeDocument/2006/relationships/hyperlink" Target="https://drive.google.com/uc?id=1ojBIubLRe57p05nJAOfdns2jpiD4VQ63" TargetMode="External"/><Relationship Id="rId92" Type="http://schemas.openxmlformats.org/officeDocument/2006/relationships/hyperlink" Target="https://tempfile.aiquickdraw.com/images/chatgpt/file_00000000defc71f5a97943ab322cd9ab.png" TargetMode="External"/><Relationship Id="rId118" Type="http://schemas.openxmlformats.org/officeDocument/2006/relationships/hyperlink" Target="https://res.cloudinary.com/a1irmvxv/image/upload/f_auto,q_auto/hf_20260630_003148_8cdf9166-5c23-4c3d-8c7f-cf7f872a39ce_xgls2u" TargetMode="External"/><Relationship Id="rId239" Type="http://schemas.openxmlformats.org/officeDocument/2006/relationships/hyperlink" Target="https://tempfile.redpandaai.co/kieai/11402406/athena-refs/style_ref.jpg" TargetMode="External"/><Relationship Id="rId117" Type="http://schemas.openxmlformats.org/officeDocument/2006/relationships/hyperlink" Target="https://drive.google.com/uc?id=1keo6_y6jTvWaHMW9FNIqpJdrccQLMDOy" TargetMode="External"/><Relationship Id="rId238" Type="http://schemas.openxmlformats.org/officeDocument/2006/relationships/hyperlink" Target="https://res.cloudinary.com/a1irmvxv/image/upload/f_auto,q_auto/ChatGPT_Image_Jul_13_2026_02_32_35_PM_wx14ep" TargetMode="External"/><Relationship Id="rId359" Type="http://schemas.openxmlformats.org/officeDocument/2006/relationships/hyperlink" Target="https://tempfile.redpandaai.co/kieai/11402406/athena-refs/style_ref.jpg" TargetMode="External"/><Relationship Id="rId116" Type="http://schemas.openxmlformats.org/officeDocument/2006/relationships/hyperlink" Target="https://tempfile.aiquickdraw.com/images/chatgpt/file_00000000c7e4722fa1b44bf5db112632.png" TargetMode="External"/><Relationship Id="rId237" Type="http://schemas.openxmlformats.org/officeDocument/2006/relationships/hyperlink" Target="https://drive.google.com/uc?id=1qdI8g_QVVIyiFQi4XmTENBsm-_pbo2cJ" TargetMode="External"/><Relationship Id="rId358" Type="http://schemas.openxmlformats.org/officeDocument/2006/relationships/hyperlink" Target="https://res.cloudinary.com/a1irmvxv/image/upload/f_auto,q_auto/ChatGPT_Image_Jul_13_2026_02_32_35_PM_wx14ep" TargetMode="External"/><Relationship Id="rId115" Type="http://schemas.openxmlformats.org/officeDocument/2006/relationships/hyperlink" Target="https://tempfile.redpandaai.co/kieai/11402406/athena-refs/style_ref.jpg" TargetMode="External"/><Relationship Id="rId236" Type="http://schemas.openxmlformats.org/officeDocument/2006/relationships/hyperlink" Target="https://tempfile.aiquickdraw.com/images/chatgpt/file_000000008f0871fdb504e5885102852e.png" TargetMode="External"/><Relationship Id="rId357" Type="http://schemas.openxmlformats.org/officeDocument/2006/relationships/hyperlink" Target="https://drive.google.com/uc?id=1NkTiICUIozsy0k38fJMOaxHU8FLF4xs3" TargetMode="External"/><Relationship Id="rId119" Type="http://schemas.openxmlformats.org/officeDocument/2006/relationships/hyperlink" Target="https://tempfile.redpandaai.co/kieai/11402406/athena-refs/style_ref.jpg" TargetMode="External"/><Relationship Id="rId110" Type="http://schemas.openxmlformats.org/officeDocument/2006/relationships/hyperlink" Target="https://res.cloudinary.com/a1irmvxv/image/upload/f_auto,q_auto/hf_20260630_003148_8cdf9166-5c23-4c3d-8c7f-cf7f872a39ce_xgls2u" TargetMode="External"/><Relationship Id="rId231" Type="http://schemas.openxmlformats.org/officeDocument/2006/relationships/hyperlink" Target="https://tempfile.redpandaai.co/kieai/11402406/athena-refs/style_ref.jpg" TargetMode="External"/><Relationship Id="rId352" Type="http://schemas.openxmlformats.org/officeDocument/2006/relationships/hyperlink" Target="https://tempfile.aiquickdraw.com/images/chatgpt/file_00000000d2c4822fb4b6bfd205ab040a.png" TargetMode="External"/><Relationship Id="rId230" Type="http://schemas.openxmlformats.org/officeDocument/2006/relationships/hyperlink" Target="https://res.cloudinary.com/a1irmvxv/image/upload/f_auto,q_auto/ChatGPT_Image_Jul_13_2026_02_32_35_PM_wx14ep" TargetMode="External"/><Relationship Id="rId351" Type="http://schemas.openxmlformats.org/officeDocument/2006/relationships/hyperlink" Target="https://tempfile.redpandaai.co/kieai/11402406/athena-refs/style_ref.jpg" TargetMode="External"/><Relationship Id="rId350" Type="http://schemas.openxmlformats.org/officeDocument/2006/relationships/hyperlink" Target="https://res.cloudinary.com/a1irmvxv/image/upload/f_auto,q_auto/ChatGPT_Image_Jul_13_2026_02_32_35_PM_wx14ep" TargetMode="External"/><Relationship Id="rId114" Type="http://schemas.openxmlformats.org/officeDocument/2006/relationships/hyperlink" Target="https://res.cloudinary.com/a1irmvxv/image/upload/f_auto,q_auto/hf_20260630_003148_8cdf9166-5c23-4c3d-8c7f-cf7f872a39ce_xgls2u" TargetMode="External"/><Relationship Id="rId235" Type="http://schemas.openxmlformats.org/officeDocument/2006/relationships/hyperlink" Target="https://tempfile.redpandaai.co/kieai/11402406/athena-refs/style_ref.jpg" TargetMode="External"/><Relationship Id="rId356" Type="http://schemas.openxmlformats.org/officeDocument/2006/relationships/hyperlink" Target="https://tempfile.aiquickdraw.com/images/chatgpt/file_000000007af081f79abe78d2a9d30c52.png" TargetMode="External"/><Relationship Id="rId113" Type="http://schemas.openxmlformats.org/officeDocument/2006/relationships/hyperlink" Target="https://drive.google.com/uc?id=13HQN30YfvsyUTQ6hkODY9IaMv2_k9T0j" TargetMode="External"/><Relationship Id="rId234" Type="http://schemas.openxmlformats.org/officeDocument/2006/relationships/hyperlink" Target="https://res.cloudinary.com/a1irmvxv/image/upload/f_auto,q_auto/ChatGPT_Image_Jul_13_2026_02_32_35_PM_wx14ep" TargetMode="External"/><Relationship Id="rId355" Type="http://schemas.openxmlformats.org/officeDocument/2006/relationships/hyperlink" Target="https://tempfile.redpandaai.co/kieai/11402406/athena-refs/style_ref.jpg" TargetMode="External"/><Relationship Id="rId112" Type="http://schemas.openxmlformats.org/officeDocument/2006/relationships/hyperlink" Target="https://tempfile.aiquickdraw.com/images/chatgpt/file_000000006d5871f5937b6f3b3c4bdcb1.png" TargetMode="External"/><Relationship Id="rId233" Type="http://schemas.openxmlformats.org/officeDocument/2006/relationships/hyperlink" Target="https://drive.google.com/uc?id=1uTNI-SaEo2O09atFag2_CPY5nwcI-r1z" TargetMode="External"/><Relationship Id="rId354" Type="http://schemas.openxmlformats.org/officeDocument/2006/relationships/hyperlink" Target="https://res.cloudinary.com/a1irmvxv/image/upload/f_auto,q_auto/ChatGPT_Image_Jul_13_2026_02_32_35_PM_wx14ep" TargetMode="External"/><Relationship Id="rId111" Type="http://schemas.openxmlformats.org/officeDocument/2006/relationships/hyperlink" Target="https://tempfile.redpandaai.co/kieai/11402406/athena-refs/style_ref.jpg" TargetMode="External"/><Relationship Id="rId232" Type="http://schemas.openxmlformats.org/officeDocument/2006/relationships/hyperlink" Target="https://tempfile.aiquickdraw.com/images/chatgpt/file_00000000a524722fb2f89173d38a815a.png" TargetMode="External"/><Relationship Id="rId353" Type="http://schemas.openxmlformats.org/officeDocument/2006/relationships/hyperlink" Target="https://drive.google.com/uc?id=1CMGiy-g6BEw9eJuSmQM53dMb3u7HPYpw" TargetMode="External"/><Relationship Id="rId305" Type="http://schemas.openxmlformats.org/officeDocument/2006/relationships/hyperlink" Target="https://drive.google.com/uc?id=1JWIXV01RywnBzugWwPyBNCxbHli8gLmi" TargetMode="External"/><Relationship Id="rId426" Type="http://schemas.openxmlformats.org/officeDocument/2006/relationships/hyperlink" Target="https://res.cloudinary.com/a1irmvxv/image/upload/f_auto,q_auto/hf_20260630_002349_744b79a7-84f6-4760-9bb8-95a9d0e040e3_1_jnwc44" TargetMode="External"/><Relationship Id="rId304" Type="http://schemas.openxmlformats.org/officeDocument/2006/relationships/hyperlink" Target="https://tempfile.aiquickdraw.com/images/chatgpt/file_00000000bd2081fd88162c4fe9c8af6f.png" TargetMode="External"/><Relationship Id="rId425" Type="http://schemas.openxmlformats.org/officeDocument/2006/relationships/hyperlink" Target="https://drive.google.com/uc?id=13dFj4PT2gRoHpYus_4kOtyxy5xfZ0SC0" TargetMode="External"/><Relationship Id="rId303" Type="http://schemas.openxmlformats.org/officeDocument/2006/relationships/hyperlink" Target="https://tempfile.redpandaai.co/kieai/11402406/athena-refs/style_ref.jpg" TargetMode="External"/><Relationship Id="rId424" Type="http://schemas.openxmlformats.org/officeDocument/2006/relationships/hyperlink" Target="https://tempfile.aiquickdraw.com/images/chatgpt/file_0000000032f481f5a2ee036756cfe8de.png" TargetMode="External"/><Relationship Id="rId302" Type="http://schemas.openxmlformats.org/officeDocument/2006/relationships/hyperlink" Target="https://res.cloudinary.com/a1irmvxv/image/upload/f_auto,q_auto/hf_20260630_003148_8cdf9166-5c23-4c3d-8c7f-cf7f872a39ce_xgls2u" TargetMode="External"/><Relationship Id="rId423" Type="http://schemas.openxmlformats.org/officeDocument/2006/relationships/hyperlink" Target="https://tempfile.redpandaai.co/kieai/11402406/athena-refs/style_ref.jpg" TargetMode="External"/><Relationship Id="rId309" Type="http://schemas.openxmlformats.org/officeDocument/2006/relationships/hyperlink" Target="https://drive.google.com/uc?id=1iGLzVBImXNRnY2YToTGfO4dQB5NffJVA" TargetMode="External"/><Relationship Id="rId308" Type="http://schemas.openxmlformats.org/officeDocument/2006/relationships/hyperlink" Target="https://tempfile.aiquickdraw.com/images/chatgpt/file_00000000681c81f5ba3e17f7b8d3761b.png" TargetMode="External"/><Relationship Id="rId429" Type="http://schemas.openxmlformats.org/officeDocument/2006/relationships/hyperlink" Target="https://drive.google.com/uc?id=1Rt2DxLZiSNh5ci9KEhxCQh_7N4-3DAfa" TargetMode="External"/><Relationship Id="rId307" Type="http://schemas.openxmlformats.org/officeDocument/2006/relationships/hyperlink" Target="https://tempfile.redpandaai.co/kieai/11402406/athena-refs/style_ref.jpg" TargetMode="External"/><Relationship Id="rId428" Type="http://schemas.openxmlformats.org/officeDocument/2006/relationships/hyperlink" Target="https://tempfile.aiquickdraw.com/images/chatgpt/file_0000000009e081f59a4800660ba81c1a.png" TargetMode="External"/><Relationship Id="rId306" Type="http://schemas.openxmlformats.org/officeDocument/2006/relationships/hyperlink" Target="https://res.cloudinary.com/a1irmvxv/image/upload/f_auto,q_auto/hf_20260630_003148_8cdf9166-5c23-4c3d-8c7f-cf7f872a39ce_xgls2u" TargetMode="External"/><Relationship Id="rId427" Type="http://schemas.openxmlformats.org/officeDocument/2006/relationships/hyperlink" Target="https://tempfile.redpandaai.co/kieai/11402406/athena-refs/style_ref.jpg" TargetMode="External"/><Relationship Id="rId301" Type="http://schemas.openxmlformats.org/officeDocument/2006/relationships/hyperlink" Target="https://drive.google.com/uc?id=1Bof2TuB9xiTrMfTkWFLfDxoP-_690NZv" TargetMode="External"/><Relationship Id="rId422" Type="http://schemas.openxmlformats.org/officeDocument/2006/relationships/hyperlink" Target="https://res.cloudinary.com/a1irmvxv/image/upload/f_auto,q_auto/hf_20260630_002349_744b79a7-84f6-4760-9bb8-95a9d0e040e3_1_jnwc44" TargetMode="External"/><Relationship Id="rId300" Type="http://schemas.openxmlformats.org/officeDocument/2006/relationships/hyperlink" Target="https://tempfile.aiquickdraw.com/images/chatgpt/file_00000000848881fda40b5ac60ab4eb94.png" TargetMode="External"/><Relationship Id="rId421" Type="http://schemas.openxmlformats.org/officeDocument/2006/relationships/hyperlink" Target="https://drive.google.com/uc?id=1rpr9ZbgLgaduwQc0MD3YB31H3A-l5eFf" TargetMode="External"/><Relationship Id="rId420" Type="http://schemas.openxmlformats.org/officeDocument/2006/relationships/hyperlink" Target="https://tempfile.aiquickdraw.com/images/chatgpt/file_00000000db4c81fdb810028b3720126e.png" TargetMode="External"/><Relationship Id="rId415" Type="http://schemas.openxmlformats.org/officeDocument/2006/relationships/hyperlink" Target="https://tempfile.redpandaai.co/kieai/11402406/athena-refs/style_ref.jpg" TargetMode="External"/><Relationship Id="rId414" Type="http://schemas.openxmlformats.org/officeDocument/2006/relationships/hyperlink" Target="https://res.cloudinary.com/a1irmvxv/image/upload/f_auto,q_auto/ChatGPT_Image_Jun_24_2026_02_26_06_PM_x1isth" TargetMode="External"/><Relationship Id="rId413" Type="http://schemas.openxmlformats.org/officeDocument/2006/relationships/hyperlink" Target="https://drive.google.com/uc?id=1hywJrtsUhuUQjmnAA90oXzg-4oiFByHJ" TargetMode="External"/><Relationship Id="rId412" Type="http://schemas.openxmlformats.org/officeDocument/2006/relationships/hyperlink" Target="https://tempfile.aiquickdraw.com/images/chatgpt/file_00000000649081f58406383443baf7cc.png" TargetMode="External"/><Relationship Id="rId419" Type="http://schemas.openxmlformats.org/officeDocument/2006/relationships/hyperlink" Target="https://tempfile.redpandaai.co/kieai/11402406/athena-refs/style_ref.jpg" TargetMode="External"/><Relationship Id="rId418" Type="http://schemas.openxmlformats.org/officeDocument/2006/relationships/hyperlink" Target="https://res.cloudinary.com/a1irmvxv/image/upload/f_auto,q_auto/ChatGPT_Image_Jun_24_2026_02_26_06_PM_x1isth" TargetMode="External"/><Relationship Id="rId417" Type="http://schemas.openxmlformats.org/officeDocument/2006/relationships/hyperlink" Target="https://drive.google.com/uc?id=1piNcrby3rajHw_--5Cz9_Ivm7xc1hk12" TargetMode="External"/><Relationship Id="rId416" Type="http://schemas.openxmlformats.org/officeDocument/2006/relationships/hyperlink" Target="https://tempfile.aiquickdraw.com/images/chatgpt/file_000000001d28820c9151ce681ac0bb95.png" TargetMode="External"/><Relationship Id="rId411" Type="http://schemas.openxmlformats.org/officeDocument/2006/relationships/hyperlink" Target="https://tempfile.redpandaai.co/kieai/11402406/athena-refs/style_ref.jpg" TargetMode="External"/><Relationship Id="rId410" Type="http://schemas.openxmlformats.org/officeDocument/2006/relationships/hyperlink" Target="https://res.cloudinary.com/a1irmvxv/image/upload/f_auto,q_auto/ChatGPT_Image_Jun_24_2026_02_26_06_PM_x1isth" TargetMode="External"/><Relationship Id="rId206" Type="http://schemas.openxmlformats.org/officeDocument/2006/relationships/hyperlink" Target="https://res.cloudinary.com/a1irmvxv/image/upload/f_auto,q_auto/hf_20260630_003148_8cdf9166-5c23-4c3d-8c7f-cf7f872a39ce_xgls2u" TargetMode="External"/><Relationship Id="rId327" Type="http://schemas.openxmlformats.org/officeDocument/2006/relationships/hyperlink" Target="https://tempfile.redpandaai.co/kieai/11402406/athena-refs/style_ref.jpg" TargetMode="External"/><Relationship Id="rId448" Type="http://schemas.openxmlformats.org/officeDocument/2006/relationships/hyperlink" Target="https://tempfile.aiquickdraw.com/images/chatgpt/file_00000000b3ac81f6809e6e618577a4a6.png" TargetMode="External"/><Relationship Id="rId205" Type="http://schemas.openxmlformats.org/officeDocument/2006/relationships/hyperlink" Target="https://drive.google.com/uc?id=1AbVaR6fq5L_CV5FG1XP8qmRX5shglTBR" TargetMode="External"/><Relationship Id="rId326" Type="http://schemas.openxmlformats.org/officeDocument/2006/relationships/hyperlink" Target="https://res.cloudinary.com/a1irmvxv/image/upload/f_auto,q_auto/hf_20260630_003148_8cdf9166-5c23-4c3d-8c7f-cf7f872a39ce_xgls2u" TargetMode="External"/><Relationship Id="rId447" Type="http://schemas.openxmlformats.org/officeDocument/2006/relationships/hyperlink" Target="https://tempfile.redpandaai.co/kieai/11402406/athena-refs/style_ref.jpg" TargetMode="External"/><Relationship Id="rId204" Type="http://schemas.openxmlformats.org/officeDocument/2006/relationships/hyperlink" Target="https://tempfile.aiquickdraw.com/images/chatgpt/file_00000000333c71f5866e5fb33d323a18.png" TargetMode="External"/><Relationship Id="rId325" Type="http://schemas.openxmlformats.org/officeDocument/2006/relationships/hyperlink" Target="https://drive.google.com/uc?id=1c3Be8fh4eJ2GrAlHdWigUarPyo0WdSWa" TargetMode="External"/><Relationship Id="rId446" Type="http://schemas.openxmlformats.org/officeDocument/2006/relationships/hyperlink" Target="https://res.cloudinary.com/a1irmvxv/image/upload/f_auto,q_auto/hf_20260630_002349_744b79a7-84f6-4760-9bb8-95a9d0e040e3_1_jnwc44" TargetMode="External"/><Relationship Id="rId203" Type="http://schemas.openxmlformats.org/officeDocument/2006/relationships/hyperlink" Target="https://tempfile.redpandaai.co/kieai/11402406/athena-refs/style_ref.jpg" TargetMode="External"/><Relationship Id="rId324" Type="http://schemas.openxmlformats.org/officeDocument/2006/relationships/hyperlink" Target="https://tempfile.aiquickdraw.com/images/chatgpt/file_00000000ef1c8230aa3836bd9b3f5d97.png" TargetMode="External"/><Relationship Id="rId445" Type="http://schemas.openxmlformats.org/officeDocument/2006/relationships/hyperlink" Target="https://drive.google.com/uc?id=1_aqXtuUo8nDPKzaFAt7sTQPjQ0S-U3E4" TargetMode="External"/><Relationship Id="rId209" Type="http://schemas.openxmlformats.org/officeDocument/2006/relationships/hyperlink" Target="https://drive.google.com/uc?id=1xqUduS_awunc7GddEZLuc2bRW_1oXbGh" TargetMode="External"/><Relationship Id="rId208" Type="http://schemas.openxmlformats.org/officeDocument/2006/relationships/hyperlink" Target="https://tempfile.aiquickdraw.com/images/chatgpt/file_000000002a7471f5870a2576ebd0683d.png" TargetMode="External"/><Relationship Id="rId329" Type="http://schemas.openxmlformats.org/officeDocument/2006/relationships/hyperlink" Target="https://drive.google.com/uc?id=1QnfIUdLFzzPUaReQLTkLaDW3YNLBff_G" TargetMode="External"/><Relationship Id="rId207" Type="http://schemas.openxmlformats.org/officeDocument/2006/relationships/hyperlink" Target="https://tempfile.redpandaai.co/kieai/11402406/athena-refs/style_ref.jpg" TargetMode="External"/><Relationship Id="rId328" Type="http://schemas.openxmlformats.org/officeDocument/2006/relationships/hyperlink" Target="https://tempfile.aiquickdraw.com/images/chatgpt/file_00000000b9e481f59304d7070a17c9ca.png" TargetMode="External"/><Relationship Id="rId449" Type="http://schemas.openxmlformats.org/officeDocument/2006/relationships/hyperlink" Target="https://drive.google.com/uc?id=1ouMFxnQKWbyLQRuhrF7dLwGN7d4sssNv" TargetMode="External"/><Relationship Id="rId440" Type="http://schemas.openxmlformats.org/officeDocument/2006/relationships/hyperlink" Target="https://tempfile.aiquickdraw.com/images/chatgpt/file_00000000367c822f88adba7730f54010.png" TargetMode="External"/><Relationship Id="rId202" Type="http://schemas.openxmlformats.org/officeDocument/2006/relationships/hyperlink" Target="https://res.cloudinary.com/a1irmvxv/image/upload/f_auto,q_auto/hf_20260630_003148_8cdf9166-5c23-4c3d-8c7f-cf7f872a39ce_xgls2u" TargetMode="External"/><Relationship Id="rId323" Type="http://schemas.openxmlformats.org/officeDocument/2006/relationships/hyperlink" Target="https://tempfile.redpandaai.co/kieai/11402406/athena-refs/style_ref.jpg" TargetMode="External"/><Relationship Id="rId444" Type="http://schemas.openxmlformats.org/officeDocument/2006/relationships/hyperlink" Target="https://tempfile.aiquickdraw.com/images/chatgpt/file_00000000c82481f7bdce56a3bfb8a5d3.png" TargetMode="External"/><Relationship Id="rId201" Type="http://schemas.openxmlformats.org/officeDocument/2006/relationships/hyperlink" Target="https://drive.google.com/uc?id=1E7s71Q_-HEV5g86nzycqXBUZeJ-unEln" TargetMode="External"/><Relationship Id="rId322" Type="http://schemas.openxmlformats.org/officeDocument/2006/relationships/hyperlink" Target="https://res.cloudinary.com/a1irmvxv/image/upload/f_auto,q_auto/hf_20260630_003148_8cdf9166-5c23-4c3d-8c7f-cf7f872a39ce_xgls2u" TargetMode="External"/><Relationship Id="rId443" Type="http://schemas.openxmlformats.org/officeDocument/2006/relationships/hyperlink" Target="https://tempfile.redpandaai.co/kieai/11402406/athena-refs/style_ref.jpg" TargetMode="External"/><Relationship Id="rId200" Type="http://schemas.openxmlformats.org/officeDocument/2006/relationships/hyperlink" Target="https://tempfile.aiquickdraw.com/images/chatgpt/file_00000000850871fbaac9337ab0a29f93.png" TargetMode="External"/><Relationship Id="rId321" Type="http://schemas.openxmlformats.org/officeDocument/2006/relationships/hyperlink" Target="https://drive.google.com/uc?id=1Wo_wiUtulyUVXvi66T7Uj02w9AA3rKbK" TargetMode="External"/><Relationship Id="rId442" Type="http://schemas.openxmlformats.org/officeDocument/2006/relationships/hyperlink" Target="https://res.cloudinary.com/a1irmvxv/image/upload/f_auto,q_auto/hf_20260630_002349_744b79a7-84f6-4760-9bb8-95a9d0e040e3_1_jnwc44" TargetMode="External"/><Relationship Id="rId320" Type="http://schemas.openxmlformats.org/officeDocument/2006/relationships/hyperlink" Target="https://tempfile.aiquickdraw.com/images/chatgpt/file_00000000777c820c87fabe81fdec1bdd.png" TargetMode="External"/><Relationship Id="rId441" Type="http://schemas.openxmlformats.org/officeDocument/2006/relationships/hyperlink" Target="https://drive.google.com/uc?id=11uR4-giua9lyqE6fMVoVoses-m7LLSsH" TargetMode="External"/><Relationship Id="rId316" Type="http://schemas.openxmlformats.org/officeDocument/2006/relationships/hyperlink" Target="https://tempfile.aiquickdraw.com/images/chatgpt/file_000000009b94820cb8ae055c50751f25.png" TargetMode="External"/><Relationship Id="rId437" Type="http://schemas.openxmlformats.org/officeDocument/2006/relationships/hyperlink" Target="https://drive.google.com/uc?id=1HGXQScckhfxJIdjdFQJhTMM3GxxtdfU9" TargetMode="External"/><Relationship Id="rId315" Type="http://schemas.openxmlformats.org/officeDocument/2006/relationships/hyperlink" Target="https://tempfile.redpandaai.co/kieai/11402406/athena-refs/style_ref.jpg" TargetMode="External"/><Relationship Id="rId436" Type="http://schemas.openxmlformats.org/officeDocument/2006/relationships/hyperlink" Target="https://tempfile.aiquickdraw.com/images/chatgpt/file_00000000ea8081f5ba8c7e206116b347.png" TargetMode="External"/><Relationship Id="rId314" Type="http://schemas.openxmlformats.org/officeDocument/2006/relationships/hyperlink" Target="https://res.cloudinary.com/a1irmvxv/image/upload/f_auto,q_auto/hf_20260630_003148_8cdf9166-5c23-4c3d-8c7f-cf7f872a39ce_xgls2u" TargetMode="External"/><Relationship Id="rId435" Type="http://schemas.openxmlformats.org/officeDocument/2006/relationships/hyperlink" Target="https://tempfile.redpandaai.co/kieai/11402406/athena-refs/style_ref.jpg" TargetMode="External"/><Relationship Id="rId313" Type="http://schemas.openxmlformats.org/officeDocument/2006/relationships/hyperlink" Target="https://drive.google.com/uc?id=1fXrz7fIsWbU0JGnwW8q2oaAFGyPTaIjO" TargetMode="External"/><Relationship Id="rId434" Type="http://schemas.openxmlformats.org/officeDocument/2006/relationships/hyperlink" Target="https://res.cloudinary.com/a1irmvxv/image/upload/f_auto,q_auto/hf_20260630_002349_744b79a7-84f6-4760-9bb8-95a9d0e040e3_1_jnwc44" TargetMode="External"/><Relationship Id="rId319" Type="http://schemas.openxmlformats.org/officeDocument/2006/relationships/hyperlink" Target="https://tempfile.redpandaai.co/kieai/11402406/athena-refs/style_ref.jpg" TargetMode="External"/><Relationship Id="rId318" Type="http://schemas.openxmlformats.org/officeDocument/2006/relationships/hyperlink" Target="https://res.cloudinary.com/a1irmvxv/image/upload/f_auto,q_auto/hf_20260630_003148_8cdf9166-5c23-4c3d-8c7f-cf7f872a39ce_xgls2u" TargetMode="External"/><Relationship Id="rId439" Type="http://schemas.openxmlformats.org/officeDocument/2006/relationships/hyperlink" Target="https://tempfile.redpandaai.co/kieai/11402406/athena-refs/style_ref.jpg" TargetMode="External"/><Relationship Id="rId317" Type="http://schemas.openxmlformats.org/officeDocument/2006/relationships/hyperlink" Target="https://drive.google.com/uc?id=1hccahspqV0banm876ikyglhfyErqqMgB" TargetMode="External"/><Relationship Id="rId438" Type="http://schemas.openxmlformats.org/officeDocument/2006/relationships/hyperlink" Target="https://res.cloudinary.com/a1irmvxv/image/upload/f_auto,q_auto/hf_20260630_002349_744b79a7-84f6-4760-9bb8-95a9d0e040e3_1_jnwc44" TargetMode="External"/><Relationship Id="rId312" Type="http://schemas.openxmlformats.org/officeDocument/2006/relationships/hyperlink" Target="https://tempfile.aiquickdraw.com/images/chatgpt/file_00000000482c81f5be3fd6feae2d95ab.png" TargetMode="External"/><Relationship Id="rId433" Type="http://schemas.openxmlformats.org/officeDocument/2006/relationships/hyperlink" Target="https://drive.google.com/uc?id=1qVVm7k4tAajrqOwKe31BSyh8tKVv__eC" TargetMode="External"/><Relationship Id="rId311" Type="http://schemas.openxmlformats.org/officeDocument/2006/relationships/hyperlink" Target="https://tempfile.redpandaai.co/kieai/11402406/athena-refs/style_ref.jpg" TargetMode="External"/><Relationship Id="rId432" Type="http://schemas.openxmlformats.org/officeDocument/2006/relationships/hyperlink" Target="https://tempfile.aiquickdraw.com/images/chatgpt/file_00000000f1d8820c9e3886cc5524d6ec.png" TargetMode="External"/><Relationship Id="rId310" Type="http://schemas.openxmlformats.org/officeDocument/2006/relationships/hyperlink" Target="https://res.cloudinary.com/a1irmvxv/image/upload/f_auto,q_auto/hf_20260630_003148_8cdf9166-5c23-4c3d-8c7f-cf7f872a39ce_xgls2u" TargetMode="External"/><Relationship Id="rId431" Type="http://schemas.openxmlformats.org/officeDocument/2006/relationships/hyperlink" Target="https://tempfile.redpandaai.co/kieai/11402406/athena-refs/style_ref.jpg" TargetMode="External"/><Relationship Id="rId430" Type="http://schemas.openxmlformats.org/officeDocument/2006/relationships/hyperlink" Target="https://res.cloudinary.com/a1irmvxv/image/upload/f_auto,q_auto/hf_20260630_002349_744b79a7-84f6-4760-9bb8-95a9d0e040e3_1_jnwc44"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uc?id=1Qotyn8d_EPar_TJRa0EhoWYRdL47_Ask" TargetMode="External"/><Relationship Id="rId194" Type="http://schemas.openxmlformats.org/officeDocument/2006/relationships/hyperlink" Target="https://drive.google.com/uc?id=1Vb2yIl3spdCq1qL98SwOpJS5qhR9CWZ-" TargetMode="External"/><Relationship Id="rId193" Type="http://schemas.openxmlformats.org/officeDocument/2006/relationships/hyperlink" Target="https://tempfile.aiquickdraw.com/images/chatgpt/file_00000000406c722f9c886005d7cf0443.png" TargetMode="External"/><Relationship Id="rId192" Type="http://schemas.openxmlformats.org/officeDocument/2006/relationships/hyperlink" Target="https://tempfile.redpandaai.co/kieai/11402406/athena-refs/style_ref.jpg" TargetMode="External"/><Relationship Id="rId191" Type="http://schemas.openxmlformats.org/officeDocument/2006/relationships/hyperlink" Target="https://res.cloudinary.com/a1irmvxv/image/upload/f_auto,q_auto/ChatGPT_Image_Jun_24_2026_02_26_06_PM_x1isth" TargetMode="External"/><Relationship Id="rId187" Type="http://schemas.openxmlformats.org/officeDocument/2006/relationships/hyperlink" Target="https://tempfile.aiquickdraw.com/images/chatgpt/file_00000000f62c720c9570410e2af5cd0f.png" TargetMode="External"/><Relationship Id="rId186" Type="http://schemas.openxmlformats.org/officeDocument/2006/relationships/hyperlink" Target="https://tempfile.redpandaai.co/kieai/11402406/athena-refs/style_ref.jpg" TargetMode="External"/><Relationship Id="rId185" Type="http://schemas.openxmlformats.org/officeDocument/2006/relationships/hyperlink" Target="https://res.cloudinary.com/a1irmvxv/image/upload/f_auto,q_auto/ChatGPT_Image_Jun_24_2026_02_26_06_PM_x1isth" TargetMode="External"/><Relationship Id="rId184" Type="http://schemas.openxmlformats.org/officeDocument/2006/relationships/hyperlink" Target="https://drive.google.com/uc?id=1cWJQrNAXNs3gEp39Nx1A7WbHPiEeSXM_" TargetMode="External"/><Relationship Id="rId189" Type="http://schemas.openxmlformats.org/officeDocument/2006/relationships/hyperlink" Target="https://tempfile.redpandaai.co/kieai/11402406/athena-refs/style_ref.jpg" TargetMode="External"/><Relationship Id="rId188" Type="http://schemas.openxmlformats.org/officeDocument/2006/relationships/hyperlink" Target="https://res.cloudinary.com/a1irmvxv/image/upload/f_auto,q_auto/ChatGPT_Image_Jun_24_2026_02_26_06_PM_x1isth" TargetMode="External"/><Relationship Id="rId183" Type="http://schemas.openxmlformats.org/officeDocument/2006/relationships/hyperlink" Target="https://tempfile.aiquickdraw.com/images/chatgpt/file_000000001e4c722fb62ad1c09625fde0.png" TargetMode="External"/><Relationship Id="rId182" Type="http://schemas.openxmlformats.org/officeDocument/2006/relationships/hyperlink" Target="https://tempfile.redpandaai.co/kieai/11402406/athena-refs/style_ref.jpg" TargetMode="External"/><Relationship Id="rId181" Type="http://schemas.openxmlformats.org/officeDocument/2006/relationships/hyperlink" Target="https://res.cloudinary.com/a1irmvxv/image/upload/f_auto,q_auto/ChatGPT_Image_Jun_24_2026_02_26_06_PM_x1isth" TargetMode="External"/><Relationship Id="rId180" Type="http://schemas.openxmlformats.org/officeDocument/2006/relationships/hyperlink" Target="https://drive.google.com/uc?id=1i0la0A_AgrRQombGFJZlhoR_z28izZlW" TargetMode="External"/><Relationship Id="rId176" Type="http://schemas.openxmlformats.org/officeDocument/2006/relationships/hyperlink" Target="https://drive.google.com/uc?id=1pg4s8b1Qgq_oK_520V4m2XXJt3fz3Ixm" TargetMode="External"/><Relationship Id="rId297" Type="http://schemas.openxmlformats.org/officeDocument/2006/relationships/hyperlink" Target="https://res.cloudinary.com/a1irmvxv/image/upload/f_auto,q_auto/hf_20260630_002349_744b79a7-84f6-4760-9bb8-95a9d0e040e3_1_jnwc44" TargetMode="External"/><Relationship Id="rId175" Type="http://schemas.openxmlformats.org/officeDocument/2006/relationships/hyperlink" Target="https://tempfile.aiquickdraw.com/images/chatgpt/file_000000004ac4722fafb2201df540d4c8.png" TargetMode="External"/><Relationship Id="rId296" Type="http://schemas.openxmlformats.org/officeDocument/2006/relationships/hyperlink" Target="https://drive.google.com/uc?id=17yR_vLk5cJJpJQQGNiRz6A3kP7eA_vWy" TargetMode="External"/><Relationship Id="rId174" Type="http://schemas.openxmlformats.org/officeDocument/2006/relationships/hyperlink" Target="https://tempfile.redpandaai.co/kieai/11402406/athena-refs/style_ref.jpg" TargetMode="External"/><Relationship Id="rId295" Type="http://schemas.openxmlformats.org/officeDocument/2006/relationships/hyperlink" Target="https://tempfile.aiquickdraw.com/images/chatgpt/file_0000000067f482098a11f7ee0100e031.png" TargetMode="External"/><Relationship Id="rId173" Type="http://schemas.openxmlformats.org/officeDocument/2006/relationships/hyperlink" Target="https://res.cloudinary.com/a1irmvxv/image/upload/f_auto,q_auto/ChatGPT_Image_Jun_24_2026_02_26_06_PM_x1isth" TargetMode="External"/><Relationship Id="rId294" Type="http://schemas.openxmlformats.org/officeDocument/2006/relationships/hyperlink" Target="https://tempfile.redpandaai.co/kieai/11402406/athena-refs/style_ref.jpg" TargetMode="External"/><Relationship Id="rId179" Type="http://schemas.openxmlformats.org/officeDocument/2006/relationships/hyperlink" Target="https://tempfile.aiquickdraw.com/images/chatgpt/file_00000000ca80722fb0eec7781a6b87c9.png" TargetMode="External"/><Relationship Id="rId178" Type="http://schemas.openxmlformats.org/officeDocument/2006/relationships/hyperlink" Target="https://tempfile.redpandaai.co/kieai/11402406/athena-refs/style_ref.jpg" TargetMode="External"/><Relationship Id="rId299" Type="http://schemas.openxmlformats.org/officeDocument/2006/relationships/hyperlink" Target="https://tempfile.aiquickdraw.com/images/chatgpt/file_0000000000f481f59be8cc6afad8cde7.png" TargetMode="External"/><Relationship Id="rId177" Type="http://schemas.openxmlformats.org/officeDocument/2006/relationships/hyperlink" Target="https://res.cloudinary.com/a1irmvxv/image/upload/f_auto,q_auto/ChatGPT_Image_Jun_24_2026_02_26_06_PM_x1isth" TargetMode="External"/><Relationship Id="rId298" Type="http://schemas.openxmlformats.org/officeDocument/2006/relationships/hyperlink" Target="https://tempfile.redpandaai.co/kieai/11402406/athena-refs/style_ref.jpg" TargetMode="External"/><Relationship Id="rId198" Type="http://schemas.openxmlformats.org/officeDocument/2006/relationships/hyperlink" Target="https://drive.google.com/uc?id=1BaSxbHxUKLOv2pBur_yGyIf14__z_PsT" TargetMode="External"/><Relationship Id="rId197" Type="http://schemas.openxmlformats.org/officeDocument/2006/relationships/hyperlink" Target="https://tempfile.aiquickdraw.com/images/chatgpt/file_00000000b59471fd88eb40cea0ef25a6.png" TargetMode="External"/><Relationship Id="rId196" Type="http://schemas.openxmlformats.org/officeDocument/2006/relationships/hyperlink" Target="https://tempfile.redpandaai.co/kieai/11402406/athena-refs/style_ref.jpg" TargetMode="External"/><Relationship Id="rId195" Type="http://schemas.openxmlformats.org/officeDocument/2006/relationships/hyperlink" Target="https://res.cloudinary.com/a1irmvxv/image/upload/f_auto,q_auto/ChatGPT_Image_Jun_24_2026_02_26_06_PM_x1isth" TargetMode="External"/><Relationship Id="rId199" Type="http://schemas.openxmlformats.org/officeDocument/2006/relationships/hyperlink" Target="https://res.cloudinary.com/a1irmvxv/image/upload/f_auto,q_auto/ChatGPT_Image_Jun_24_2026_02_26_06_PM_x1isth" TargetMode="External"/><Relationship Id="rId150" Type="http://schemas.openxmlformats.org/officeDocument/2006/relationships/hyperlink" Target="https://drive.google.com/uc?id=1IJVRtWx-6xfiYnJ_w0QKWG83u1bD5MJt" TargetMode="External"/><Relationship Id="rId271" Type="http://schemas.openxmlformats.org/officeDocument/2006/relationships/hyperlink" Target="https://tempfile.aiquickdraw.com/images/chatgpt/file_000000000e9c7230b61712218ddb68e9.png" TargetMode="External"/><Relationship Id="rId392" Type="http://schemas.openxmlformats.org/officeDocument/2006/relationships/hyperlink" Target="https://drive.google.com/uc?id=1NkTiICUIozsy0k38fJMOaxHU8FLF4xs3" TargetMode="External"/><Relationship Id="rId270" Type="http://schemas.openxmlformats.org/officeDocument/2006/relationships/hyperlink" Target="https://tempfile.redpandaai.co/kieai/11402406/athena-refs/style_ref.jpg" TargetMode="External"/><Relationship Id="rId391" Type="http://schemas.openxmlformats.org/officeDocument/2006/relationships/hyperlink" Target="https://tempfile.aiquickdraw.com/images/chatgpt/file_00000000d2c4822fb4b6bfd205ab040a.png" TargetMode="External"/><Relationship Id="rId390" Type="http://schemas.openxmlformats.org/officeDocument/2006/relationships/hyperlink" Target="https://tempfile.redpandaai.co/kieai/11402406/athena-refs/style_ref.jpg" TargetMode="External"/><Relationship Id="rId1" Type="http://schemas.openxmlformats.org/officeDocument/2006/relationships/hyperlink" Target="https://res.cloudinary.com/a1irmvxv/image/upload/f_auto,q_auto/hf_20260630_002349_744b79a7-84f6-4760-9bb8-95a9d0e040e3_1_jnwc44" TargetMode="External"/><Relationship Id="rId2" Type="http://schemas.openxmlformats.org/officeDocument/2006/relationships/hyperlink" Target="https://tempfile.redpandaai.co/kieai/11402406/athena-refs/style_ref.jpg" TargetMode="External"/><Relationship Id="rId3" Type="http://schemas.openxmlformats.org/officeDocument/2006/relationships/hyperlink" Target="https://cliffsuperset.app.n8n.cloud/webhook-waiting/1901?signature=3346b6b0013ca1e58c30d77436dc0bb8a4b42f20d9aff72ebfc5d141a1d07bcc" TargetMode="External"/><Relationship Id="rId149" Type="http://schemas.openxmlformats.org/officeDocument/2006/relationships/hyperlink" Target="https://tempfile.aiquickdraw.com/images/chatgpt/file_000000000500722f9a09e159e69e0aa3.png" TargetMode="External"/><Relationship Id="rId4" Type="http://schemas.openxmlformats.org/officeDocument/2006/relationships/hyperlink" Target="https://res.cloudinary.com/a1irmvxv/image/upload/f_auto,q_auto/ChatGPT_Image_Jul_13_2026_02_32_35_PM_wx14ep" TargetMode="External"/><Relationship Id="rId148" Type="http://schemas.openxmlformats.org/officeDocument/2006/relationships/hyperlink" Target="https://tempfile.redpandaai.co/kieai/11402406/athena-refs/style_ref.jpg" TargetMode="External"/><Relationship Id="rId269" Type="http://schemas.openxmlformats.org/officeDocument/2006/relationships/hyperlink" Target="https://res.cloudinary.com/a1irmvxv/image/upload/f_auto,q_auto/ChatGPT_Image_Jul_13_2026_02_32_35_PM_wx14ep" TargetMode="External"/><Relationship Id="rId9" Type="http://schemas.openxmlformats.org/officeDocument/2006/relationships/hyperlink" Target="https://res.cloudinary.com/a1irmvxv/image/upload/f_auto,q_auto/ChatGPT_Image_Jul_13_2026_02_32_35_PM_wx14ep" TargetMode="External"/><Relationship Id="rId143" Type="http://schemas.openxmlformats.org/officeDocument/2006/relationships/hyperlink" Target="https://res.cloudinary.com/a1irmvxv/image/upload/f_auto,q_auto/hf_20260630_003148_8cdf9166-5c23-4c3d-8c7f-cf7f872a39ce_xgls2u" TargetMode="External"/><Relationship Id="rId264" Type="http://schemas.openxmlformats.org/officeDocument/2006/relationships/hyperlink" Target="https://tempfile.redpandaai.co/kieai/11402406/athena-refs/style_ref.jpg" TargetMode="External"/><Relationship Id="rId385" Type="http://schemas.openxmlformats.org/officeDocument/2006/relationships/hyperlink" Target="https://res.cloudinary.com/a1irmvxv/image/upload/f_auto,q_auto/ChatGPT_Image_Jul_13_2026_02_32_35_PM_wx14ep" TargetMode="External"/><Relationship Id="rId142" Type="http://schemas.openxmlformats.org/officeDocument/2006/relationships/hyperlink" Target="https://drive.google.com/uc?id=1vbLKasCrw13RGFBdXU8_UrWazvq71aT-" TargetMode="External"/><Relationship Id="rId263" Type="http://schemas.openxmlformats.org/officeDocument/2006/relationships/hyperlink" Target="https://res.cloudinary.com/a1irmvxv/image/upload/f_auto,q_auto/ChatGPT_Image_Jul_13_2026_02_32_35_PM_wx14ep" TargetMode="External"/><Relationship Id="rId384" Type="http://schemas.openxmlformats.org/officeDocument/2006/relationships/hyperlink" Target="https://drive.google.com/uc?id=1RcenUgdXXOG5jyzQghL683jv8RGTEezB" TargetMode="External"/><Relationship Id="rId141" Type="http://schemas.openxmlformats.org/officeDocument/2006/relationships/hyperlink" Target="https://tempfile.aiquickdraw.com/images/chatgpt/file_00000000c7e4722fa1b44bf5db112632.png" TargetMode="External"/><Relationship Id="rId262" Type="http://schemas.openxmlformats.org/officeDocument/2006/relationships/hyperlink" Target="https://drive.google.com/uc?id=1qdI8g_QVVIyiFQi4XmTENBsm-_pbo2cJ" TargetMode="External"/><Relationship Id="rId383" Type="http://schemas.openxmlformats.org/officeDocument/2006/relationships/hyperlink" Target="https://tempfile.aiquickdraw.com/images/chatgpt/file_000000000fc0822f89ca0738d4995c8f.png" TargetMode="External"/><Relationship Id="rId140" Type="http://schemas.openxmlformats.org/officeDocument/2006/relationships/hyperlink" Target="https://tempfile.redpandaai.co/kieai/11402406/athena-refs/style_ref.jpg" TargetMode="External"/><Relationship Id="rId261" Type="http://schemas.openxmlformats.org/officeDocument/2006/relationships/hyperlink" Target="https://tempfile.aiquickdraw.com/images/chatgpt/file_00000000a524722fb2f89173d38a815a.png" TargetMode="External"/><Relationship Id="rId382" Type="http://schemas.openxmlformats.org/officeDocument/2006/relationships/hyperlink" Target="https://tempfile.redpandaai.co/kieai/11402406/athena-refs/style_ref.jpg" TargetMode="External"/><Relationship Id="rId5" Type="http://schemas.openxmlformats.org/officeDocument/2006/relationships/hyperlink" Target="https://tempfile.redpandaai.co/kieai/11402406/athena-refs/style_ref.jpg" TargetMode="External"/><Relationship Id="rId147" Type="http://schemas.openxmlformats.org/officeDocument/2006/relationships/hyperlink" Target="https://res.cloudinary.com/a1irmvxv/image/upload/f_auto,q_auto/hf_20260630_003148_8cdf9166-5c23-4c3d-8c7f-cf7f872a39ce_xgls2u" TargetMode="External"/><Relationship Id="rId268" Type="http://schemas.openxmlformats.org/officeDocument/2006/relationships/hyperlink" Target="https://drive.google.com/uc?id=1f_FofslG-0XbNc1rBPzqW938t2FMsXed" TargetMode="External"/><Relationship Id="rId389" Type="http://schemas.openxmlformats.org/officeDocument/2006/relationships/hyperlink" Target="https://res.cloudinary.com/a1irmvxv/image/upload/f_auto,q_auto/ChatGPT_Image_Jul_13_2026_02_32_35_PM_wx14ep" TargetMode="External"/><Relationship Id="rId6" Type="http://schemas.openxmlformats.org/officeDocument/2006/relationships/hyperlink" Target="https://res.cloudinary.com/a1irmvxv/image/upload/f_auto,q_auto/ChatGPT_Image_Jul_13_2026_02_32_35_PM_wx14ep" TargetMode="External"/><Relationship Id="rId146" Type="http://schemas.openxmlformats.org/officeDocument/2006/relationships/hyperlink" Target="https://drive.google.com/uc?id=1oJpskGqO0DDMVakAG9VavjIaRVe9CjbS" TargetMode="External"/><Relationship Id="rId267" Type="http://schemas.openxmlformats.org/officeDocument/2006/relationships/hyperlink" Target="https://tempfile.redpandaai.co/kieai/11402406/athena-refs/style_ref.jpg" TargetMode="External"/><Relationship Id="rId388" Type="http://schemas.openxmlformats.org/officeDocument/2006/relationships/hyperlink" Target="https://drive.google.com/uc?id=1CMGiy-g6BEw9eJuSmQM53dMb3u7HPYpw" TargetMode="External"/><Relationship Id="rId7" Type="http://schemas.openxmlformats.org/officeDocument/2006/relationships/hyperlink" Target="https://tempfile.redpandaai.co/kieai/11402406/athena-refs/style_ref.jpg" TargetMode="External"/><Relationship Id="rId145" Type="http://schemas.openxmlformats.org/officeDocument/2006/relationships/hyperlink" Target="https://tempfile.aiquickdraw.com/images/chatgpt/file_00000000274471f595e9083061fa151a.png" TargetMode="External"/><Relationship Id="rId266" Type="http://schemas.openxmlformats.org/officeDocument/2006/relationships/hyperlink" Target="https://res.cloudinary.com/a1irmvxv/image/upload/f_auto,q_auto/ChatGPT_Image_Jul_13_2026_02_32_35_PM_wx14ep" TargetMode="External"/><Relationship Id="rId387" Type="http://schemas.openxmlformats.org/officeDocument/2006/relationships/hyperlink" Target="https://tempfile.aiquickdraw.com/images/chatgpt/file_000000009468820ca63d19c893b77a54.png" TargetMode="External"/><Relationship Id="rId8" Type="http://schemas.openxmlformats.org/officeDocument/2006/relationships/hyperlink" Target="https://drive.google.com/uc?id=1BkQJtqDOaHaAw-pubyYnlGBDQnf4_eAz" TargetMode="External"/><Relationship Id="rId144" Type="http://schemas.openxmlformats.org/officeDocument/2006/relationships/hyperlink" Target="https://tempfile.redpandaai.co/kieai/11402406/athena-refs/style_ref.jpg" TargetMode="External"/><Relationship Id="rId265" Type="http://schemas.openxmlformats.org/officeDocument/2006/relationships/hyperlink" Target="https://tempfile.aiquickdraw.com/images/chatgpt/file_000000008f0871fdb504e5885102852e.png" TargetMode="External"/><Relationship Id="rId386" Type="http://schemas.openxmlformats.org/officeDocument/2006/relationships/hyperlink" Target="https://tempfile.redpandaai.co/kieai/11402406/athena-refs/style_ref.jpg" TargetMode="External"/><Relationship Id="rId260" Type="http://schemas.openxmlformats.org/officeDocument/2006/relationships/hyperlink" Target="https://tempfile.redpandaai.co/kieai/11402406/athena-refs/style_ref.jpg" TargetMode="External"/><Relationship Id="rId381" Type="http://schemas.openxmlformats.org/officeDocument/2006/relationships/hyperlink" Target="https://res.cloudinary.com/a1irmvxv/image/upload/f_auto,q_auto/ChatGPT_Image_Jul_13_2026_02_32_35_PM_wx14ep" TargetMode="External"/><Relationship Id="rId380" Type="http://schemas.openxmlformats.org/officeDocument/2006/relationships/hyperlink" Target="https://drive.google.com/uc?id=17rPBiaZp0VKCCM9vyWuGarPq5CTzQiDJ" TargetMode="External"/><Relationship Id="rId139" Type="http://schemas.openxmlformats.org/officeDocument/2006/relationships/hyperlink" Target="https://res.cloudinary.com/a1irmvxv/image/upload/f_auto,q_auto/hf_20260630_003148_8cdf9166-5c23-4c3d-8c7f-cf7f872a39ce_xgls2u" TargetMode="External"/><Relationship Id="rId138" Type="http://schemas.openxmlformats.org/officeDocument/2006/relationships/hyperlink" Target="https://drive.google.com/uc?id=1keo6_y6jTvWaHMW9FNIqpJdrccQLMDOy" TargetMode="External"/><Relationship Id="rId259" Type="http://schemas.openxmlformats.org/officeDocument/2006/relationships/hyperlink" Target="https://res.cloudinary.com/a1irmvxv/image/upload/f_auto,q_auto/ChatGPT_Image_Jul_13_2026_02_32_35_PM_wx14ep" TargetMode="External"/><Relationship Id="rId137" Type="http://schemas.openxmlformats.org/officeDocument/2006/relationships/hyperlink" Target="https://tempfile.aiquickdraw.com/images/chatgpt/file_000000006d5871f5937b6f3b3c4bdcb1.png" TargetMode="External"/><Relationship Id="rId258" Type="http://schemas.openxmlformats.org/officeDocument/2006/relationships/hyperlink" Target="https://drive.google.com/uc?id=1uTNI-SaEo2O09atFag2_CPY5nwcI-r1z" TargetMode="External"/><Relationship Id="rId379" Type="http://schemas.openxmlformats.org/officeDocument/2006/relationships/hyperlink" Target="https://tempfile.aiquickdraw.com/images/chatgpt/file_0000000089a481f7b149f3af5797f1b8.png" TargetMode="External"/><Relationship Id="rId132" Type="http://schemas.openxmlformats.org/officeDocument/2006/relationships/hyperlink" Target="https://tempfile.redpandaai.co/kieai/11402406/athena-refs/style_ref.jpg" TargetMode="External"/><Relationship Id="rId253" Type="http://schemas.openxmlformats.org/officeDocument/2006/relationships/hyperlink" Target="https://tempfile.aiquickdraw.com/images/chatgpt/file_00000000e18871f6b9ee581182ed194d.png" TargetMode="External"/><Relationship Id="rId374" Type="http://schemas.openxmlformats.org/officeDocument/2006/relationships/hyperlink" Target="https://tempfile.redpandaai.co/kieai/11402406/athena-refs/style_ref.jpg" TargetMode="External"/><Relationship Id="rId131" Type="http://schemas.openxmlformats.org/officeDocument/2006/relationships/hyperlink" Target="https://res.cloudinary.com/a1irmvxv/image/upload/f_auto,q_auto/ChatGPT_Image_Jun_24_2026_02_27_36_PM_avlrpn" TargetMode="External"/><Relationship Id="rId252" Type="http://schemas.openxmlformats.org/officeDocument/2006/relationships/hyperlink" Target="https://tempfile.redpandaai.co/kieai/11402406/athena-refs/style_ref.jpg" TargetMode="External"/><Relationship Id="rId373" Type="http://schemas.openxmlformats.org/officeDocument/2006/relationships/hyperlink" Target="https://res.cloudinary.com/a1irmvxv/image/upload/f_auto,q_auto/hf_20260630_003148_8cdf9166-5c23-4c3d-8c7f-cf7f872a39ce_xgls2u" TargetMode="External"/><Relationship Id="rId130" Type="http://schemas.openxmlformats.org/officeDocument/2006/relationships/hyperlink" Target="https://drive.google.com/uc?id=1bnLhXbz_5EBH3Kofl6YsdlRA72OaN229" TargetMode="External"/><Relationship Id="rId251" Type="http://schemas.openxmlformats.org/officeDocument/2006/relationships/hyperlink" Target="https://res.cloudinary.com/a1irmvxv/image/upload/f_auto,q_auto/ChatGPT_Image_Jul_13_2026_02_32_35_PM_wx14ep" TargetMode="External"/><Relationship Id="rId372" Type="http://schemas.openxmlformats.org/officeDocument/2006/relationships/hyperlink" Target="https://drive.google.com/uc?id=1SHyHQrss6hpg7gSWoCtN9LkiVjwTayD1" TargetMode="External"/><Relationship Id="rId250" Type="http://schemas.openxmlformats.org/officeDocument/2006/relationships/hyperlink" Target="https://drive.google.com/uc?id=1bf_t3vogWRHTabX4kt6HS1jT8zkzvbJF" TargetMode="External"/><Relationship Id="rId371" Type="http://schemas.openxmlformats.org/officeDocument/2006/relationships/hyperlink" Target="https://tempfile.aiquickdraw.com/images/chatgpt/file_00000000f8a481f8ba05007ad797df80.png" TargetMode="External"/><Relationship Id="rId492" Type="http://schemas.openxmlformats.org/officeDocument/2006/relationships/drawing" Target="../drawings/drawing3.xml"/><Relationship Id="rId136" Type="http://schemas.openxmlformats.org/officeDocument/2006/relationships/hyperlink" Target="https://tempfile.redpandaai.co/kieai/11402406/athena-refs/style_ref.jpg" TargetMode="External"/><Relationship Id="rId257" Type="http://schemas.openxmlformats.org/officeDocument/2006/relationships/hyperlink" Target="https://tempfile.aiquickdraw.com/images/chatgpt/file_00000000b40471f584538fd2bdfe245b.png" TargetMode="External"/><Relationship Id="rId378" Type="http://schemas.openxmlformats.org/officeDocument/2006/relationships/hyperlink" Target="https://tempfile.redpandaai.co/kieai/11402406/athena-refs/style_ref.jpg" TargetMode="External"/><Relationship Id="rId135" Type="http://schemas.openxmlformats.org/officeDocument/2006/relationships/hyperlink" Target="https://res.cloudinary.com/a1irmvxv/image/upload/f_auto,q_auto/hf_20260630_003148_8cdf9166-5c23-4c3d-8c7f-cf7f872a39ce_xgls2u" TargetMode="External"/><Relationship Id="rId256" Type="http://schemas.openxmlformats.org/officeDocument/2006/relationships/hyperlink" Target="https://tempfile.redpandaai.co/kieai/11402406/athena-refs/style_ref.jpg" TargetMode="External"/><Relationship Id="rId377" Type="http://schemas.openxmlformats.org/officeDocument/2006/relationships/hyperlink" Target="https://res.cloudinary.com/a1irmvxv/image/upload/f_auto,q_auto/ChatGPT_Image_Jul_13_2026_02_32_35_PM_wx14ep" TargetMode="External"/><Relationship Id="rId134" Type="http://schemas.openxmlformats.org/officeDocument/2006/relationships/hyperlink" Target="https://drive.google.com/uc?id=13HQN30YfvsyUTQ6hkODY9IaMv2_k9T0j" TargetMode="External"/><Relationship Id="rId255" Type="http://schemas.openxmlformats.org/officeDocument/2006/relationships/hyperlink" Target="https://res.cloudinary.com/a1irmvxv/image/upload/f_auto,q_auto/ChatGPT_Image_Jul_13_2026_02_32_35_PM_wx14ep" TargetMode="External"/><Relationship Id="rId376" Type="http://schemas.openxmlformats.org/officeDocument/2006/relationships/hyperlink" Target="https://drive.google.com/uc?id=1eeP7pdNwA2Hl7dqvxekbNNHSrsyB4oqa" TargetMode="External"/><Relationship Id="rId133" Type="http://schemas.openxmlformats.org/officeDocument/2006/relationships/hyperlink" Target="https://tempfile.aiquickdraw.com/images/chatgpt/file_00000000a90471f59dde1204d0f49325.png" TargetMode="External"/><Relationship Id="rId254" Type="http://schemas.openxmlformats.org/officeDocument/2006/relationships/hyperlink" Target="https://drive.google.com/uc?id=1dAqnbNtJizvfaX-ZF81EJByXF9qwy46B" TargetMode="External"/><Relationship Id="rId375" Type="http://schemas.openxmlformats.org/officeDocument/2006/relationships/hyperlink" Target="https://tempfile.aiquickdraw.com/images/chatgpt/file_00000000e788822fad0128e40867ff4f.png" TargetMode="External"/><Relationship Id="rId172" Type="http://schemas.openxmlformats.org/officeDocument/2006/relationships/hyperlink" Target="https://drive.google.com/uc?id=1XnT9V3Ckr05wgIYPv6ptQsA7GUJfzaXr" TargetMode="External"/><Relationship Id="rId293" Type="http://schemas.openxmlformats.org/officeDocument/2006/relationships/hyperlink" Target="https://res.cloudinary.com/a1irmvxv/image/upload/f_auto,q_auto/ChatGPT_Image_Jun_24_2026_02_27_36_PM_avlrpn" TargetMode="External"/><Relationship Id="rId171" Type="http://schemas.openxmlformats.org/officeDocument/2006/relationships/hyperlink" Target="https://tempfile.aiquickdraw.com/images/chatgpt/file_00000000e0b4722f9d2451f841a3a79e.png" TargetMode="External"/><Relationship Id="rId292" Type="http://schemas.openxmlformats.org/officeDocument/2006/relationships/hyperlink" Target="https://drive.google.com/uc?id=1WgIbT0d9hHkGjIyTHZ3qWly0ktOmXgXn" TargetMode="External"/><Relationship Id="rId170" Type="http://schemas.openxmlformats.org/officeDocument/2006/relationships/hyperlink" Target="https://tempfile.redpandaai.co/kieai/11402406/athena-refs/style_ref.jpg" TargetMode="External"/><Relationship Id="rId291" Type="http://schemas.openxmlformats.org/officeDocument/2006/relationships/hyperlink" Target="https://tempfile.aiquickdraw.com/images/chatgpt/file_0000000051d881f597541865605afb00.png" TargetMode="External"/><Relationship Id="rId290" Type="http://schemas.openxmlformats.org/officeDocument/2006/relationships/hyperlink" Target="https://tempfile.redpandaai.co/kieai/11402406/athena-refs/style_ref.jpg" TargetMode="External"/><Relationship Id="rId165" Type="http://schemas.openxmlformats.org/officeDocument/2006/relationships/hyperlink" Target="https://res.cloudinary.com/a1irmvxv/image/upload/f_auto,q_auto/hf_20260630_003148_8cdf9166-5c23-4c3d-8c7f-cf7f872a39ce_xgls2u" TargetMode="External"/><Relationship Id="rId286" Type="http://schemas.openxmlformats.org/officeDocument/2006/relationships/hyperlink" Target="https://tempfile.redpandaai.co/kieai/11402406/athena-refs/style_ref.jpg" TargetMode="External"/><Relationship Id="rId164" Type="http://schemas.openxmlformats.org/officeDocument/2006/relationships/hyperlink" Target="https://drive.google.com/uc?id=1mmVHL39nlC9hpSEr08S_Vbpkr72sZWk-" TargetMode="External"/><Relationship Id="rId285" Type="http://schemas.openxmlformats.org/officeDocument/2006/relationships/hyperlink" Target="https://res.cloudinary.com/a1irmvxv/image/upload/f_auto,q_auto/hf_20260630_002349_744b79a7-84f6-4760-9bb8-95a9d0e040e3_1_jnwc44" TargetMode="External"/><Relationship Id="rId163" Type="http://schemas.openxmlformats.org/officeDocument/2006/relationships/hyperlink" Target="https://tempfile.aiquickdraw.com/images/chatgpt/file_000000002874722f914b2234937bd633.png" TargetMode="External"/><Relationship Id="rId284" Type="http://schemas.openxmlformats.org/officeDocument/2006/relationships/hyperlink" Target="https://drive.google.com/uc?id=1k8Mc0QJb9NfdFNJLRU2euYSzCq-9sL2q" TargetMode="External"/><Relationship Id="rId162" Type="http://schemas.openxmlformats.org/officeDocument/2006/relationships/hyperlink" Target="https://tempfile.redpandaai.co/kieai/11402406/athena-refs/style_ref.jpg" TargetMode="External"/><Relationship Id="rId283" Type="http://schemas.openxmlformats.org/officeDocument/2006/relationships/hyperlink" Target="https://tempfile.aiquickdraw.com/images/chatgpt/file_000000002aa871f5a76bca915f3bd9dd.png" TargetMode="External"/><Relationship Id="rId169" Type="http://schemas.openxmlformats.org/officeDocument/2006/relationships/hyperlink" Target="https://res.cloudinary.com/a1irmvxv/image/upload/f_auto,q_auto/hf_20260630_003148_8cdf9166-5c23-4c3d-8c7f-cf7f872a39ce_xgls2u" TargetMode="External"/><Relationship Id="rId168" Type="http://schemas.openxmlformats.org/officeDocument/2006/relationships/hyperlink" Target="https://drive.google.com/uc?id=1KUyyOrkyt_0DzEbuAQkx0ClsO-dYSkT4" TargetMode="External"/><Relationship Id="rId289" Type="http://schemas.openxmlformats.org/officeDocument/2006/relationships/hyperlink" Target="https://res.cloudinary.com/a1irmvxv/image/upload/f_auto,q_auto/hf_20260630_002349_744b79a7-84f6-4760-9bb8-95a9d0e040e3_1_jnwc44" TargetMode="External"/><Relationship Id="rId167" Type="http://schemas.openxmlformats.org/officeDocument/2006/relationships/hyperlink" Target="https://tempfile.aiquickdraw.com/images/chatgpt/file_0000000022f871fbbcfbd594cb0c9260.png" TargetMode="External"/><Relationship Id="rId288" Type="http://schemas.openxmlformats.org/officeDocument/2006/relationships/hyperlink" Target="https://drive.google.com/uc?id=1m21DTFDCqBkqtg5UGsMrmhvvS61nJwey" TargetMode="External"/><Relationship Id="rId166" Type="http://schemas.openxmlformats.org/officeDocument/2006/relationships/hyperlink" Target="https://tempfile.redpandaai.co/kieai/11402406/athena-refs/style_ref.jpg" TargetMode="External"/><Relationship Id="rId287" Type="http://schemas.openxmlformats.org/officeDocument/2006/relationships/hyperlink" Target="https://tempfile.aiquickdraw.com/images/chatgpt/file_00000000f34c822f8e13fad63b4c8cb2.png" TargetMode="External"/><Relationship Id="rId161" Type="http://schemas.openxmlformats.org/officeDocument/2006/relationships/hyperlink" Target="https://res.cloudinary.com/a1irmvxv/image/upload/f_auto,q_auto/hf_20260630_003148_8cdf9166-5c23-4c3d-8c7f-cf7f872a39ce_xgls2u" TargetMode="External"/><Relationship Id="rId282" Type="http://schemas.openxmlformats.org/officeDocument/2006/relationships/hyperlink" Target="https://tempfile.redpandaai.co/kieai/11402406/athena-refs/style_ref.jpg" TargetMode="External"/><Relationship Id="rId160" Type="http://schemas.openxmlformats.org/officeDocument/2006/relationships/hyperlink" Target="https://drive.google.com/uc?id=1QiJEhOf9enIqkS_hTrwrHyYYb9pKjvMn" TargetMode="External"/><Relationship Id="rId281" Type="http://schemas.openxmlformats.org/officeDocument/2006/relationships/hyperlink" Target="https://res.cloudinary.com/a1irmvxv/image/upload/f_auto,q_auto/ChatGPT_Image_Jul_13_2026_02_32_35_PM_wx14ep" TargetMode="External"/><Relationship Id="rId280" Type="http://schemas.openxmlformats.org/officeDocument/2006/relationships/hyperlink" Target="https://drive.google.com/uc?id=1BDWb0oonnwqTzroWrwZdOg7K1qfbVVt-" TargetMode="External"/><Relationship Id="rId159" Type="http://schemas.openxmlformats.org/officeDocument/2006/relationships/hyperlink" Target="https://tempfile.aiquickdraw.com/images/chatgpt/file_00000000081c72098cbc7c1185f60f14.png" TargetMode="External"/><Relationship Id="rId154" Type="http://schemas.openxmlformats.org/officeDocument/2006/relationships/hyperlink" Target="https://res.cloudinary.com/a1irmvxv/image/upload/f_auto,q_auto/hf_20260630_003148_8cdf9166-5c23-4c3d-8c7f-cf7f872a39ce_xgls2u" TargetMode="External"/><Relationship Id="rId275" Type="http://schemas.openxmlformats.org/officeDocument/2006/relationships/hyperlink" Target="https://tempfile.aiquickdraw.com/images/chatgpt/file_00000000a29871f58276527aa374cd82.png" TargetMode="External"/><Relationship Id="rId396" Type="http://schemas.openxmlformats.org/officeDocument/2006/relationships/hyperlink" Target="https://drive.google.com/uc?id=1WBFcOI4E9unDmTCCfst5o-rnVYzb7F_Q" TargetMode="External"/><Relationship Id="rId153" Type="http://schemas.openxmlformats.org/officeDocument/2006/relationships/hyperlink" Target="https://tempfile.aiquickdraw.com/images/chatgpt/file_000000004124722fbe3e9127f1c08987.png" TargetMode="External"/><Relationship Id="rId274" Type="http://schemas.openxmlformats.org/officeDocument/2006/relationships/hyperlink" Target="https://tempfile.redpandaai.co/kieai/11402406/athena-refs/style_ref.jpg" TargetMode="External"/><Relationship Id="rId395" Type="http://schemas.openxmlformats.org/officeDocument/2006/relationships/hyperlink" Target="https://tempfile.aiquickdraw.com/images/chatgpt/file_000000007af081f79abe78d2a9d30c52.png" TargetMode="External"/><Relationship Id="rId152" Type="http://schemas.openxmlformats.org/officeDocument/2006/relationships/hyperlink" Target="https://tempfile.redpandaai.co/kieai/11402406/athena-refs/style_ref.jpg" TargetMode="External"/><Relationship Id="rId273" Type="http://schemas.openxmlformats.org/officeDocument/2006/relationships/hyperlink" Target="https://res.cloudinary.com/a1irmvxv/image/upload/f_auto,q_auto/ChatGPT_Image_Jul_13_2026_02_32_35_PM_wx14ep" TargetMode="External"/><Relationship Id="rId394" Type="http://schemas.openxmlformats.org/officeDocument/2006/relationships/hyperlink" Target="https://tempfile.redpandaai.co/kieai/11402406/athena-refs/style_ref.jpg" TargetMode="External"/><Relationship Id="rId151" Type="http://schemas.openxmlformats.org/officeDocument/2006/relationships/hyperlink" Target="https://res.cloudinary.com/a1irmvxv/image/upload/f_auto,q_auto/hf_20260630_003148_8cdf9166-5c23-4c3d-8c7f-cf7f872a39ce_xgls2u" TargetMode="External"/><Relationship Id="rId272" Type="http://schemas.openxmlformats.org/officeDocument/2006/relationships/hyperlink" Target="https://drive.google.com/uc?id=1P0nG4IC-Yn6xdLpQnDDQXTUw2b8j3jZm" TargetMode="External"/><Relationship Id="rId393" Type="http://schemas.openxmlformats.org/officeDocument/2006/relationships/hyperlink" Target="https://res.cloudinary.com/a1irmvxv/image/upload/f_auto,q_auto/ChatGPT_Image_Jul_13_2026_02_32_35_PM_wx14ep" TargetMode="External"/><Relationship Id="rId158" Type="http://schemas.openxmlformats.org/officeDocument/2006/relationships/hyperlink" Target="https://tempfile.redpandaai.co/kieai/11402406/athena-refs/style_ref.jpg" TargetMode="External"/><Relationship Id="rId279" Type="http://schemas.openxmlformats.org/officeDocument/2006/relationships/hyperlink" Target="https://tempfile.aiquickdraw.com/images/chatgpt/file_00000000197871f586cdf23e673d09ed.png" TargetMode="External"/><Relationship Id="rId157" Type="http://schemas.openxmlformats.org/officeDocument/2006/relationships/hyperlink" Target="https://res.cloudinary.com/a1irmvxv/image/upload/f_auto,q_auto/hf_20260630_003148_8cdf9166-5c23-4c3d-8c7f-cf7f872a39ce_xgls2u" TargetMode="External"/><Relationship Id="rId278" Type="http://schemas.openxmlformats.org/officeDocument/2006/relationships/hyperlink" Target="https://tempfile.redpandaai.co/kieai/11402406/athena-refs/style_ref.jpg" TargetMode="External"/><Relationship Id="rId399" Type="http://schemas.openxmlformats.org/officeDocument/2006/relationships/hyperlink" Target="https://tempfile.aiquickdraw.com/images/chatgpt/file_00000000c2d081f6be484db3509c5e2b.png" TargetMode="External"/><Relationship Id="rId156" Type="http://schemas.openxmlformats.org/officeDocument/2006/relationships/hyperlink" Target="https://drive.google.com/uc?id=1Jycvva1aYHsnx_izGyT9dVMMByuNGXgL" TargetMode="External"/><Relationship Id="rId277" Type="http://schemas.openxmlformats.org/officeDocument/2006/relationships/hyperlink" Target="https://res.cloudinary.com/a1irmvxv/image/upload/f_auto,q_auto/ChatGPT_Image_Jul_13_2026_02_32_35_PM_wx14ep" TargetMode="External"/><Relationship Id="rId398" Type="http://schemas.openxmlformats.org/officeDocument/2006/relationships/hyperlink" Target="https://tempfile.redpandaai.co/kieai/11402406/athena-refs/style_ref.jpg" TargetMode="External"/><Relationship Id="rId155" Type="http://schemas.openxmlformats.org/officeDocument/2006/relationships/hyperlink" Target="https://tempfile.redpandaai.co/kieai/11402406/athena-refs/style_ref.jpg" TargetMode="External"/><Relationship Id="rId276" Type="http://schemas.openxmlformats.org/officeDocument/2006/relationships/hyperlink" Target="https://drive.google.com/uc?id=1HAEuNx8s9X2J6rFggRkgVYbyrT_6J_dm" TargetMode="External"/><Relationship Id="rId397" Type="http://schemas.openxmlformats.org/officeDocument/2006/relationships/hyperlink" Target="https://res.cloudinary.com/a1irmvxv/image/upload/f_auto,q_auto/ChatGPT_Image_Jul_13_2026_02_32_35_PM_wx14ep" TargetMode="External"/><Relationship Id="rId40" Type="http://schemas.openxmlformats.org/officeDocument/2006/relationships/hyperlink" Target="https://drive.google.com/uc?id=1A5L4Yt5tpuT0AXDZXbMQwDaAyOuV3qaQ" TargetMode="External"/><Relationship Id="rId42" Type="http://schemas.openxmlformats.org/officeDocument/2006/relationships/hyperlink" Target="https://tempfile.redpandaai.co/kieai/11402406/athena-refs/style_ref.jpg" TargetMode="External"/><Relationship Id="rId41" Type="http://schemas.openxmlformats.org/officeDocument/2006/relationships/hyperlink" Target="https://res.cloudinary.com/a1irmvxv/image/upload/f_auto,q_auto/ChatGPT_Image_Jul_13_2026_02_32_35_PM_wx14ep" TargetMode="External"/><Relationship Id="rId44" Type="http://schemas.openxmlformats.org/officeDocument/2006/relationships/hyperlink" Target="https://drive.google.com/uc?id=109gBhPKLZ7CUpSPuki-t71akx5xBVhjw" TargetMode="External"/><Relationship Id="rId43" Type="http://schemas.openxmlformats.org/officeDocument/2006/relationships/hyperlink" Target="https://tempfile.aiquickdraw.com/images/chatgpt/file_00000000b308720cb55b7f6f444b7a44.png" TargetMode="External"/><Relationship Id="rId46" Type="http://schemas.openxmlformats.org/officeDocument/2006/relationships/hyperlink" Target="https://tempfile.redpandaai.co/kieai/11402406/athena-refs/style_ref.jpg" TargetMode="External"/><Relationship Id="rId45" Type="http://schemas.openxmlformats.org/officeDocument/2006/relationships/hyperlink" Target="https://res.cloudinary.com/a1irmvxv/image/upload/f_auto,q_auto/ChatGPT_Image_Jul_13_2026_02_32_35_PM_wx14ep" TargetMode="External"/><Relationship Id="rId48" Type="http://schemas.openxmlformats.org/officeDocument/2006/relationships/hyperlink" Target="https://drive.google.com/uc?id=1qpnNFRdxDT-5fzEqloOO-FK9a0GhxtA1" TargetMode="External"/><Relationship Id="rId47" Type="http://schemas.openxmlformats.org/officeDocument/2006/relationships/hyperlink" Target="https://tempfile.aiquickdraw.com/images/chatgpt/file_00000000cf80720c920928e2e2a07c10.png" TargetMode="External"/><Relationship Id="rId49" Type="http://schemas.openxmlformats.org/officeDocument/2006/relationships/hyperlink" Target="https://res.cloudinary.com/a1irmvxv/image/upload/f_auto,q_auto/ChatGPT_Image_Jul_13_2026_02_32_35_PM_wx14ep" TargetMode="External"/><Relationship Id="rId31" Type="http://schemas.openxmlformats.org/officeDocument/2006/relationships/hyperlink" Target="https://tempfile.aiquickdraw.com/images/chatgpt/file_00000000b6ac720cb74ea8a8b8c35ec5.png" TargetMode="External"/><Relationship Id="rId30" Type="http://schemas.openxmlformats.org/officeDocument/2006/relationships/hyperlink" Target="https://tempfile.redpandaai.co/kieai/11402406/athena-refs/style_ref.jpg" TargetMode="External"/><Relationship Id="rId33" Type="http://schemas.openxmlformats.org/officeDocument/2006/relationships/hyperlink" Target="https://res.cloudinary.com/a1irmvxv/image/upload/f_auto,q_auto/ChatGPT_Image_Jul_13_2026_02_32_35_PM_wx14ep" TargetMode="External"/><Relationship Id="rId32" Type="http://schemas.openxmlformats.org/officeDocument/2006/relationships/hyperlink" Target="https://drive.google.com/uc?id=1J2kf8Cb7CEpYXJoH3BS_7VnM5zVRPdq_" TargetMode="External"/><Relationship Id="rId35" Type="http://schemas.openxmlformats.org/officeDocument/2006/relationships/hyperlink" Target="https://tempfile.aiquickdraw.com/images/chatgpt/file_0000000068ac71f58ee5372029af1a05.png" TargetMode="External"/><Relationship Id="rId34" Type="http://schemas.openxmlformats.org/officeDocument/2006/relationships/hyperlink" Target="https://tempfile.redpandaai.co/kieai/11402406/athena-refs/style_ref.jpg" TargetMode="External"/><Relationship Id="rId37" Type="http://schemas.openxmlformats.org/officeDocument/2006/relationships/hyperlink" Target="https://res.cloudinary.com/a1irmvxv/image/upload/f_auto,q_auto/ChatGPT_Image_Jul_13_2026_02_32_35_PM_wx14ep" TargetMode="External"/><Relationship Id="rId36" Type="http://schemas.openxmlformats.org/officeDocument/2006/relationships/hyperlink" Target="https://drive.google.com/uc?id=1Y6NRtGDmtQIUpTCDgqU5pd78VkCFNVZ0" TargetMode="External"/><Relationship Id="rId39" Type="http://schemas.openxmlformats.org/officeDocument/2006/relationships/hyperlink" Target="https://tempfile.aiquickdraw.com/images/chatgpt/file_00000000cf5071f5b9ca1fa8b7fb2ce1.png" TargetMode="External"/><Relationship Id="rId38" Type="http://schemas.openxmlformats.org/officeDocument/2006/relationships/hyperlink" Target="https://tempfile.redpandaai.co/kieai/11402406/athena-refs/style_ref.jpg" TargetMode="External"/><Relationship Id="rId20" Type="http://schemas.openxmlformats.org/officeDocument/2006/relationships/hyperlink" Target="https://drive.google.com/uc?id=1axzQogpet0OO1ucMNmyY927qLN5VCkrA" TargetMode="External"/><Relationship Id="rId22" Type="http://schemas.openxmlformats.org/officeDocument/2006/relationships/hyperlink" Target="https://tempfile.redpandaai.co/kieai/11402406/athena-refs/style_ref.jpg" TargetMode="External"/><Relationship Id="rId21" Type="http://schemas.openxmlformats.org/officeDocument/2006/relationships/hyperlink" Target="https://res.cloudinary.com/a1irmvxv/image/upload/f_auto,q_auto/ChatGPT_Image_Jul_13_2026_02_32_35_PM_wx14ep" TargetMode="External"/><Relationship Id="rId24" Type="http://schemas.openxmlformats.org/officeDocument/2006/relationships/hyperlink" Target="https://drive.google.com/uc?id=1WC_fkf5LoF-1-3s6sPB48LVswkwD1OEl" TargetMode="External"/><Relationship Id="rId23" Type="http://schemas.openxmlformats.org/officeDocument/2006/relationships/hyperlink" Target="https://tempfile.aiquickdraw.com/images/chatgpt/file_0000000003c471f5a5d444f69b7db6fd.png" TargetMode="External"/><Relationship Id="rId409" Type="http://schemas.openxmlformats.org/officeDocument/2006/relationships/hyperlink" Target="https://res.cloudinary.com/a1irmvxv/image/upload/f_auto,q_auto/ChatGPT_Image_Jul_13_2026_02_32_35_PM_wx14ep" TargetMode="External"/><Relationship Id="rId404" Type="http://schemas.openxmlformats.org/officeDocument/2006/relationships/hyperlink" Target="https://drive.google.com/uc?id=1JUlybPXawkvqzyfem5Cw2AlLgSQFB-Oe" TargetMode="External"/><Relationship Id="rId403" Type="http://schemas.openxmlformats.org/officeDocument/2006/relationships/hyperlink" Target="https://tempfile.aiquickdraw.com/images/chatgpt/file_000000007a1c81f7b28eaa441f910460.png" TargetMode="External"/><Relationship Id="rId402" Type="http://schemas.openxmlformats.org/officeDocument/2006/relationships/hyperlink" Target="https://tempfile.redpandaai.co/kieai/11402406/athena-refs/style_ref.jpg" TargetMode="External"/><Relationship Id="rId401" Type="http://schemas.openxmlformats.org/officeDocument/2006/relationships/hyperlink" Target="https://res.cloudinary.com/a1irmvxv/image/upload/f_auto,q_auto/ChatGPT_Image_Jul_13_2026_02_32_35_PM_wx14ep" TargetMode="External"/><Relationship Id="rId408" Type="http://schemas.openxmlformats.org/officeDocument/2006/relationships/hyperlink" Target="https://drive.google.com/uc?id=1Rd2OVDEQa-E5XMDWpcftX_yFthbOJVsb" TargetMode="External"/><Relationship Id="rId407" Type="http://schemas.openxmlformats.org/officeDocument/2006/relationships/hyperlink" Target="https://tempfile.aiquickdraw.com/images/chatgpt/file_00000000ad1081f584d9c6334814c8f7.png" TargetMode="External"/><Relationship Id="rId406" Type="http://schemas.openxmlformats.org/officeDocument/2006/relationships/hyperlink" Target="https://tempfile.redpandaai.co/kieai/11402406/athena-refs/style_ref.jpg" TargetMode="External"/><Relationship Id="rId405" Type="http://schemas.openxmlformats.org/officeDocument/2006/relationships/hyperlink" Target="https://res.cloudinary.com/a1irmvxv/image/upload/f_auto,q_auto/ChatGPT_Image_Jul_13_2026_02_32_35_PM_wx14ep" TargetMode="External"/><Relationship Id="rId26" Type="http://schemas.openxmlformats.org/officeDocument/2006/relationships/hyperlink" Target="https://tempfile.redpandaai.co/kieai/11402406/athena-refs/style_ref.jpg" TargetMode="External"/><Relationship Id="rId25" Type="http://schemas.openxmlformats.org/officeDocument/2006/relationships/hyperlink" Target="https://res.cloudinary.com/a1irmvxv/image/upload/f_auto,q_auto/ChatGPT_Image_Jul_13_2026_02_32_35_PM_wx14ep" TargetMode="External"/><Relationship Id="rId28" Type="http://schemas.openxmlformats.org/officeDocument/2006/relationships/hyperlink" Target="https://drive.google.com/uc?id=1RoYL0-FdR0okT1CV-_ZE3797vGqHqETV" TargetMode="External"/><Relationship Id="rId27" Type="http://schemas.openxmlformats.org/officeDocument/2006/relationships/hyperlink" Target="https://tempfile.aiquickdraw.com/images/chatgpt/file_000000002168722fb2d34681fd0ceb6e.png" TargetMode="External"/><Relationship Id="rId400" Type="http://schemas.openxmlformats.org/officeDocument/2006/relationships/hyperlink" Target="https://drive.google.com/uc?id=1SMsbS_LD729RPrwMwN4Lb_Ua3JqsAmoS" TargetMode="External"/><Relationship Id="rId29" Type="http://schemas.openxmlformats.org/officeDocument/2006/relationships/hyperlink" Target="https://res.cloudinary.com/a1irmvxv/image/upload/f_auto,q_auto/ChatGPT_Image_Jul_13_2026_02_32_35_PM_wx14ep" TargetMode="External"/><Relationship Id="rId11" Type="http://schemas.openxmlformats.org/officeDocument/2006/relationships/hyperlink" Target="https://tempfile.aiquickdraw.com/images/chatgpt/file_00000000681c722f89f9b076775880eb.png" TargetMode="External"/><Relationship Id="rId10" Type="http://schemas.openxmlformats.org/officeDocument/2006/relationships/hyperlink" Target="https://tempfile.redpandaai.co/kieai/11402406/athena-refs/style_ref.jpg" TargetMode="External"/><Relationship Id="rId13" Type="http://schemas.openxmlformats.org/officeDocument/2006/relationships/hyperlink" Target="https://res.cloudinary.com/a1irmvxv/image/upload/f_auto,q_auto/ChatGPT_Image_Jun_24_2026_02_26_06_PM_x1isth" TargetMode="External"/><Relationship Id="rId12" Type="http://schemas.openxmlformats.org/officeDocument/2006/relationships/hyperlink" Target="https://drive.google.com/uc?id=1T00PbEsncvm7Ib3hwRopTsTVAoE28IeH" TargetMode="External"/><Relationship Id="rId15" Type="http://schemas.openxmlformats.org/officeDocument/2006/relationships/hyperlink" Target="https://tempfile.aiquickdraw.com/images/chatgpt/file_00000000d8a8720c87478f972b58ae3e.png" TargetMode="External"/><Relationship Id="rId14" Type="http://schemas.openxmlformats.org/officeDocument/2006/relationships/hyperlink" Target="https://tempfile.redpandaai.co/kieai/11402406/athena-refs/style_ref.jpg" TargetMode="External"/><Relationship Id="rId17" Type="http://schemas.openxmlformats.org/officeDocument/2006/relationships/hyperlink" Target="https://res.cloudinary.com/a1irmvxv/image/upload/f_auto,q_auto/ChatGPT_Image_Jun_24_2026_02_26_06_PM_x1isth" TargetMode="External"/><Relationship Id="rId16" Type="http://schemas.openxmlformats.org/officeDocument/2006/relationships/hyperlink" Target="https://drive.google.com/uc?id=1986uKB8ne4rTP2ET6PU4GClKqpOv7qZ4" TargetMode="External"/><Relationship Id="rId19" Type="http://schemas.openxmlformats.org/officeDocument/2006/relationships/hyperlink" Target="https://tempfile.aiquickdraw.com/images/chatgpt/file_0000000073d4720cada87dd2ab4ea2be.png" TargetMode="External"/><Relationship Id="rId18" Type="http://schemas.openxmlformats.org/officeDocument/2006/relationships/hyperlink" Target="https://tempfile.redpandaai.co/kieai/11402406/athena-refs/style_ref.jpg" TargetMode="External"/><Relationship Id="rId84" Type="http://schemas.openxmlformats.org/officeDocument/2006/relationships/hyperlink" Target="https://drive.google.com/uc?id=1DQNDikY-cOUTJaeYnxxtmz9FstChiWoM" TargetMode="External"/><Relationship Id="rId83" Type="http://schemas.openxmlformats.org/officeDocument/2006/relationships/hyperlink" Target="https://tempfile.aiquickdraw.com/images/chatgpt/file_00000000d82c71f58dd359bf039029b4.png" TargetMode="External"/><Relationship Id="rId86" Type="http://schemas.openxmlformats.org/officeDocument/2006/relationships/hyperlink" Target="https://tempfile.redpandaai.co/kieai/11402406/athena-refs/style_ref.jpg" TargetMode="External"/><Relationship Id="rId85" Type="http://schemas.openxmlformats.org/officeDocument/2006/relationships/hyperlink" Target="https://res.cloudinary.com/a1irmvxv/image/upload/f_auto,q_auto/hf_20260630_002349_744b79a7-84f6-4760-9bb8-95a9d0e040e3_1_jnwc44" TargetMode="External"/><Relationship Id="rId88" Type="http://schemas.openxmlformats.org/officeDocument/2006/relationships/hyperlink" Target="https://drive.google.com/uc?id=1CQym4nGzVI4Ln7VDzRRsvfZWoe42KM3f" TargetMode="External"/><Relationship Id="rId87" Type="http://schemas.openxmlformats.org/officeDocument/2006/relationships/hyperlink" Target="https://tempfile.aiquickdraw.com/images/chatgpt/1a9c6a2971c3565b26237cea5fc5b279_3d1f1f37957b4b1ca175b44b7b7a9e0a.png" TargetMode="External"/><Relationship Id="rId89" Type="http://schemas.openxmlformats.org/officeDocument/2006/relationships/hyperlink" Target="https://res.cloudinary.com/a1irmvxv/image/upload/f_auto,q_auto/hf_20260630_002349_744b79a7-84f6-4760-9bb8-95a9d0e040e3_1_jnwc44" TargetMode="External"/><Relationship Id="rId80" Type="http://schemas.openxmlformats.org/officeDocument/2006/relationships/hyperlink" Target="https://drive.google.com/uc?id=1fCjDFQs9v0baMrly6Ck4CbGOLNnmfkUr" TargetMode="External"/><Relationship Id="rId82" Type="http://schemas.openxmlformats.org/officeDocument/2006/relationships/hyperlink" Target="https://tempfile.redpandaai.co/kieai/11402406/athena-refs/style_ref.jpg" TargetMode="External"/><Relationship Id="rId81" Type="http://schemas.openxmlformats.org/officeDocument/2006/relationships/hyperlink" Target="https://res.cloudinary.com/a1irmvxv/image/upload/f_auto,q_auto/hf_20260630_002349_744b79a7-84f6-4760-9bb8-95a9d0e040e3_1_jnwc44" TargetMode="External"/><Relationship Id="rId73" Type="http://schemas.openxmlformats.org/officeDocument/2006/relationships/hyperlink" Target="https://res.cloudinary.com/a1irmvxv/image/upload/f_auto,q_auto/hf_20260630_002349_744b79a7-84f6-4760-9bb8-95a9d0e040e3_1_jnwc44" TargetMode="External"/><Relationship Id="rId72" Type="http://schemas.openxmlformats.org/officeDocument/2006/relationships/hyperlink" Target="https://drive.google.com/uc?id=1cTMMIm-Rd2r5NIGmlo1_3tLtWFUcG9Hz" TargetMode="External"/><Relationship Id="rId75" Type="http://schemas.openxmlformats.org/officeDocument/2006/relationships/hyperlink" Target="https://tempfile.aiquickdraw.com/images/chatgpt/file_000000007a0871fdbd01d1771bf43b0e.png" TargetMode="External"/><Relationship Id="rId74" Type="http://schemas.openxmlformats.org/officeDocument/2006/relationships/hyperlink" Target="https://tempfile.redpandaai.co/kieai/11402406/athena-refs/style_ref.jpg" TargetMode="External"/><Relationship Id="rId77" Type="http://schemas.openxmlformats.org/officeDocument/2006/relationships/hyperlink" Target="https://res.cloudinary.com/a1irmvxv/image/upload/f_auto,q_auto/hf_20260630_002349_744b79a7-84f6-4760-9bb8-95a9d0e040e3_1_jnwc44" TargetMode="External"/><Relationship Id="rId76" Type="http://schemas.openxmlformats.org/officeDocument/2006/relationships/hyperlink" Target="https://drive.google.com/uc?id=1z1r-BppxMKEg-MMC-JJspDJqEMlVZYCv" TargetMode="External"/><Relationship Id="rId79" Type="http://schemas.openxmlformats.org/officeDocument/2006/relationships/hyperlink" Target="https://tempfile.aiquickdraw.com/images/chatgpt/bc30c87324365c7ab5da63b121d61cc5_8c376ff94be94fbb8b663a0919adacf6.png" TargetMode="External"/><Relationship Id="rId78" Type="http://schemas.openxmlformats.org/officeDocument/2006/relationships/hyperlink" Target="https://tempfile.redpandaai.co/kieai/11402406/athena-refs/style_ref.jpg" TargetMode="External"/><Relationship Id="rId71" Type="http://schemas.openxmlformats.org/officeDocument/2006/relationships/hyperlink" Target="https://tempfile.aiquickdraw.com/images/chatgpt/file_00000000890871f69ee0e669b8e16b22.png" TargetMode="External"/><Relationship Id="rId70" Type="http://schemas.openxmlformats.org/officeDocument/2006/relationships/hyperlink" Target="https://tempfile.redpandaai.co/kieai/11402406/athena-refs/style_ref.jpg" TargetMode="External"/><Relationship Id="rId62" Type="http://schemas.openxmlformats.org/officeDocument/2006/relationships/hyperlink" Target="https://tempfile.redpandaai.co/kieai/11402406/athena-refs/style_ref.jpg" TargetMode="External"/><Relationship Id="rId61" Type="http://schemas.openxmlformats.org/officeDocument/2006/relationships/hyperlink" Target="https://res.cloudinary.com/a1irmvxv/image/upload/f_auto,q_auto/ChatGPT_Image_Jul_13_2026_02_32_35_PM_wx14ep" TargetMode="External"/><Relationship Id="rId64" Type="http://schemas.openxmlformats.org/officeDocument/2006/relationships/hyperlink" Target="https://drive.google.com/uc?id=1LPgH6UL8bQf9gNrRe7uOfOdMCj2WTCX0" TargetMode="External"/><Relationship Id="rId63" Type="http://schemas.openxmlformats.org/officeDocument/2006/relationships/hyperlink" Target="https://tempfile.aiquickdraw.com/images/chatgpt/file_000000009efc720c8c099ceed7a9b99f.png" TargetMode="External"/><Relationship Id="rId66" Type="http://schemas.openxmlformats.org/officeDocument/2006/relationships/hyperlink" Target="https://tempfile.redpandaai.co/kieai/11402406/athena-refs/style_ref.jpg" TargetMode="External"/><Relationship Id="rId65" Type="http://schemas.openxmlformats.org/officeDocument/2006/relationships/hyperlink" Target="https://res.cloudinary.com/a1irmvxv/image/upload/f_auto,q_auto/ChatGPT_Image_Jul_13_2026_02_32_35_PM_wx14ep" TargetMode="External"/><Relationship Id="rId68" Type="http://schemas.openxmlformats.org/officeDocument/2006/relationships/hyperlink" Target="https://drive.google.com/uc?id=1M9asYKpO46bvcdqPMJjAgSp8LVbeRykh" TargetMode="External"/><Relationship Id="rId67" Type="http://schemas.openxmlformats.org/officeDocument/2006/relationships/hyperlink" Target="https://tempfile.aiquickdraw.com/images/chatgpt/file_0000000026c871fd9112c0a0f8f6bd03.png" TargetMode="External"/><Relationship Id="rId60" Type="http://schemas.openxmlformats.org/officeDocument/2006/relationships/hyperlink" Target="https://drive.google.com/uc?id=17fXMbj_BmjDf6pIYhRaHoZJt5mA2nmC1" TargetMode="External"/><Relationship Id="rId69" Type="http://schemas.openxmlformats.org/officeDocument/2006/relationships/hyperlink" Target="https://res.cloudinary.com/a1irmvxv/image/upload/f_auto,q_auto/ChatGPT_Image_Jul_13_2026_02_32_35_PM_wx14ep" TargetMode="External"/><Relationship Id="rId51" Type="http://schemas.openxmlformats.org/officeDocument/2006/relationships/hyperlink" Target="https://tempfile.aiquickdraw.com/images/chatgpt/file_00000000ee4071f59e9c69d9248a8f1a.png" TargetMode="External"/><Relationship Id="rId50" Type="http://schemas.openxmlformats.org/officeDocument/2006/relationships/hyperlink" Target="https://tempfile.redpandaai.co/kieai/11402406/athena-refs/style_ref.jpg" TargetMode="External"/><Relationship Id="rId53" Type="http://schemas.openxmlformats.org/officeDocument/2006/relationships/hyperlink" Target="https://res.cloudinary.com/a1irmvxv/image/upload/f_auto,q_auto/ChatGPT_Image_Jul_13_2026_02_32_35_PM_wx14ep" TargetMode="External"/><Relationship Id="rId52" Type="http://schemas.openxmlformats.org/officeDocument/2006/relationships/hyperlink" Target="https://drive.google.com/uc?id=11orFzPxTHpyaaZZczJJRK1hAtQt7cb8x" TargetMode="External"/><Relationship Id="rId55" Type="http://schemas.openxmlformats.org/officeDocument/2006/relationships/hyperlink" Target="https://tempfile.aiquickdraw.com/images/chatgpt/file_00000000f4d471fd9f0c87a5a530ca8e.png" TargetMode="External"/><Relationship Id="rId54" Type="http://schemas.openxmlformats.org/officeDocument/2006/relationships/hyperlink" Target="https://tempfile.redpandaai.co/kieai/11402406/athena-refs/style_ref.jpg" TargetMode="External"/><Relationship Id="rId57" Type="http://schemas.openxmlformats.org/officeDocument/2006/relationships/hyperlink" Target="https://res.cloudinary.com/a1irmvxv/image/upload/f_auto,q_auto/ChatGPT_Image_Jul_13_2026_02_32_35_PM_wx14ep" TargetMode="External"/><Relationship Id="rId56" Type="http://schemas.openxmlformats.org/officeDocument/2006/relationships/hyperlink" Target="https://drive.google.com/uc?id=1a-iX9Gd78mBH4NRLoUtncFTcj0Ts8eIB" TargetMode="External"/><Relationship Id="rId59" Type="http://schemas.openxmlformats.org/officeDocument/2006/relationships/hyperlink" Target="https://tempfile.aiquickdraw.com/images/chatgpt/file_00000000b8e871fd97834e4739db4425.png" TargetMode="External"/><Relationship Id="rId58" Type="http://schemas.openxmlformats.org/officeDocument/2006/relationships/hyperlink" Target="https://tempfile.redpandaai.co/kieai/11402406/athena-refs/style_ref.jpg" TargetMode="External"/><Relationship Id="rId107" Type="http://schemas.openxmlformats.org/officeDocument/2006/relationships/hyperlink" Target="https://tempfile.aiquickdraw.com/images/chatgpt/file_00000000120471fd940a42fa0621e62b.png" TargetMode="External"/><Relationship Id="rId228" Type="http://schemas.openxmlformats.org/officeDocument/2006/relationships/hyperlink" Target="https://tempfile.redpandaai.co/kieai/11402406/athena-refs/style_ref.jpg" TargetMode="External"/><Relationship Id="rId349" Type="http://schemas.openxmlformats.org/officeDocument/2006/relationships/hyperlink" Target="https://tempfile.aiquickdraw.com/images/chatgpt/file_00000000482c81f5be3fd6feae2d95ab.png" TargetMode="External"/><Relationship Id="rId106" Type="http://schemas.openxmlformats.org/officeDocument/2006/relationships/hyperlink" Target="https://tempfile.redpandaai.co/kieai/11402406/athena-refs/style_ref.jpg" TargetMode="External"/><Relationship Id="rId227" Type="http://schemas.openxmlformats.org/officeDocument/2006/relationships/hyperlink" Target="https://res.cloudinary.com/a1irmvxv/image/upload/f_auto,q_auto/hf_20260630_003148_8cdf9166-5c23-4c3d-8c7f-cf7f872a39ce_xgls2u" TargetMode="External"/><Relationship Id="rId348" Type="http://schemas.openxmlformats.org/officeDocument/2006/relationships/hyperlink" Target="https://tempfile.redpandaai.co/kieai/11402406/athena-refs/style_ref.jpg" TargetMode="External"/><Relationship Id="rId469" Type="http://schemas.openxmlformats.org/officeDocument/2006/relationships/hyperlink" Target="https://res.cloudinary.com/a1irmvxv/image/upload/f_auto,q_auto/hf_20260630_002349_744b79a7-84f6-4760-9bb8-95a9d0e040e3_1_jnwc44" TargetMode="External"/><Relationship Id="rId105" Type="http://schemas.openxmlformats.org/officeDocument/2006/relationships/hyperlink" Target="https://res.cloudinary.com/a1irmvxv/image/upload/f_auto,q_auto/hf_20260630_002349_744b79a7-84f6-4760-9bb8-95a9d0e040e3_1_jnwc44" TargetMode="External"/><Relationship Id="rId226" Type="http://schemas.openxmlformats.org/officeDocument/2006/relationships/hyperlink" Target="https://drive.google.com/uc?id=1E7s71Q_-HEV5g86nzycqXBUZeJ-unEln" TargetMode="External"/><Relationship Id="rId347" Type="http://schemas.openxmlformats.org/officeDocument/2006/relationships/hyperlink" Target="https://res.cloudinary.com/a1irmvxv/image/upload/f_auto,q_auto/hf_20260630_003148_8cdf9166-5c23-4c3d-8c7f-cf7f872a39ce_xgls2u" TargetMode="External"/><Relationship Id="rId468" Type="http://schemas.openxmlformats.org/officeDocument/2006/relationships/hyperlink" Target="https://drive.google.com/uc?id=1Rt2DxLZiSNh5ci9KEhxCQh_7N4-3DAfa" TargetMode="External"/><Relationship Id="rId104" Type="http://schemas.openxmlformats.org/officeDocument/2006/relationships/hyperlink" Target="https://drive.google.com/uc?id=1dOWX1f_hzv31hPIJSsKaTMTd44pmr8rc" TargetMode="External"/><Relationship Id="rId225" Type="http://schemas.openxmlformats.org/officeDocument/2006/relationships/hyperlink" Target="https://tempfile.aiquickdraw.com/images/chatgpt/file_0000000011f471fb98023725648c4745.png" TargetMode="External"/><Relationship Id="rId346" Type="http://schemas.openxmlformats.org/officeDocument/2006/relationships/hyperlink" Target="https://drive.google.com/uc?id=1fXrz7fIsWbU0JGnwW8q2oaAFGyPTaIjO" TargetMode="External"/><Relationship Id="rId467" Type="http://schemas.openxmlformats.org/officeDocument/2006/relationships/hyperlink" Target="https://tempfile.aiquickdraw.com/images/chatgpt/file_0000000032f481f5a2ee036756cfe8de.png" TargetMode="External"/><Relationship Id="rId109" Type="http://schemas.openxmlformats.org/officeDocument/2006/relationships/hyperlink" Target="https://res.cloudinary.com/a1irmvxv/image/upload/f_auto,q_auto/ChatGPT_Image_Jun_24_2026_02_27_36_PM_avlrpn" TargetMode="External"/><Relationship Id="rId108" Type="http://schemas.openxmlformats.org/officeDocument/2006/relationships/hyperlink" Target="https://drive.google.com/uc?id=1Ur12ZOQunHUze7V2SnkQ_9n8vnX4bwcC" TargetMode="External"/><Relationship Id="rId229" Type="http://schemas.openxmlformats.org/officeDocument/2006/relationships/hyperlink" Target="https://tempfile.aiquickdraw.com/images/chatgpt/file_00000000850871fbaac9337ab0a29f93.png" TargetMode="External"/><Relationship Id="rId220" Type="http://schemas.openxmlformats.org/officeDocument/2006/relationships/hyperlink" Target="https://tempfile.redpandaai.co/kieai/11402406/athena-refs/style_ref.jpg" TargetMode="External"/><Relationship Id="rId341" Type="http://schemas.openxmlformats.org/officeDocument/2006/relationships/hyperlink" Target="https://tempfile.aiquickdraw.com/images/chatgpt/file_00000000bd2081fd88162c4fe9c8af6f.png" TargetMode="External"/><Relationship Id="rId462" Type="http://schemas.openxmlformats.org/officeDocument/2006/relationships/hyperlink" Target="https://tempfile.redpandaai.co/kieai/11402406/athena-refs/style_ref.jpg" TargetMode="External"/><Relationship Id="rId340" Type="http://schemas.openxmlformats.org/officeDocument/2006/relationships/hyperlink" Target="https://tempfile.redpandaai.co/kieai/11402406/athena-refs/style_ref.jpg" TargetMode="External"/><Relationship Id="rId461" Type="http://schemas.openxmlformats.org/officeDocument/2006/relationships/hyperlink" Target="https://res.cloudinary.com/a1irmvxv/image/upload/f_auto,q_auto/ChatGPT_Image_Jun_24_2026_02_26_06_PM_x1isth" TargetMode="External"/><Relationship Id="rId460" Type="http://schemas.openxmlformats.org/officeDocument/2006/relationships/hyperlink" Target="https://drive.google.com/uc?id=1rpr9ZbgLgaduwQc0MD3YB31H3A-l5eFf" TargetMode="External"/><Relationship Id="rId103" Type="http://schemas.openxmlformats.org/officeDocument/2006/relationships/hyperlink" Target="https://tempfile.aiquickdraw.com/images/chatgpt/file_0000000015f071f595119d98a1e2bf2b.png" TargetMode="External"/><Relationship Id="rId224" Type="http://schemas.openxmlformats.org/officeDocument/2006/relationships/hyperlink" Target="https://tempfile.redpandaai.co/kieai/11402406/athena-refs/style_ref.jpg" TargetMode="External"/><Relationship Id="rId345" Type="http://schemas.openxmlformats.org/officeDocument/2006/relationships/hyperlink" Target="https://tempfile.aiquickdraw.com/images/chatgpt/file_00000000681c81f5ba3e17f7b8d3761b.png" TargetMode="External"/><Relationship Id="rId466" Type="http://schemas.openxmlformats.org/officeDocument/2006/relationships/hyperlink" Target="https://tempfile.redpandaai.co/kieai/11402406/athena-refs/style_ref.jpg" TargetMode="External"/><Relationship Id="rId102" Type="http://schemas.openxmlformats.org/officeDocument/2006/relationships/hyperlink" Target="https://tempfile.redpandaai.co/kieai/11402406/athena-refs/style_ref.jpg" TargetMode="External"/><Relationship Id="rId223" Type="http://schemas.openxmlformats.org/officeDocument/2006/relationships/hyperlink" Target="https://res.cloudinary.com/a1irmvxv/image/upload/f_auto,q_auto/hf_20260630_003148_8cdf9166-5c23-4c3d-8c7f-cf7f872a39ce_xgls2u" TargetMode="External"/><Relationship Id="rId344" Type="http://schemas.openxmlformats.org/officeDocument/2006/relationships/hyperlink" Target="https://tempfile.redpandaai.co/kieai/11402406/athena-refs/style_ref.jpg" TargetMode="External"/><Relationship Id="rId465" Type="http://schemas.openxmlformats.org/officeDocument/2006/relationships/hyperlink" Target="https://res.cloudinary.com/a1irmvxv/image/upload/f_auto,q_auto/hf_20260630_002349_744b79a7-84f6-4760-9bb8-95a9d0e040e3_1_jnwc44" TargetMode="External"/><Relationship Id="rId101" Type="http://schemas.openxmlformats.org/officeDocument/2006/relationships/hyperlink" Target="https://res.cloudinary.com/a1irmvxv/image/upload/f_auto,q_auto/hf_20260630_002349_744b79a7-84f6-4760-9bb8-95a9d0e040e3_1_jnwc44" TargetMode="External"/><Relationship Id="rId222" Type="http://schemas.openxmlformats.org/officeDocument/2006/relationships/hyperlink" Target="https://drive.google.com/uc?id=1c0C21Vmfq_6CNzqziPBtPQNDWrYqOMR6" TargetMode="External"/><Relationship Id="rId343" Type="http://schemas.openxmlformats.org/officeDocument/2006/relationships/hyperlink" Target="https://res.cloudinary.com/a1irmvxv/image/upload/f_auto,q_auto/hf_20260630_003148_8cdf9166-5c23-4c3d-8c7f-cf7f872a39ce_xgls2u" TargetMode="External"/><Relationship Id="rId464" Type="http://schemas.openxmlformats.org/officeDocument/2006/relationships/hyperlink" Target="https://drive.google.com/uc?id=13dFj4PT2gRoHpYus_4kOtyxy5xfZ0SC0" TargetMode="External"/><Relationship Id="rId100" Type="http://schemas.openxmlformats.org/officeDocument/2006/relationships/hyperlink" Target="https://drive.google.com/uc?id=1ytQiJJXh4295OKriw7M2JDmescijXyUY" TargetMode="External"/><Relationship Id="rId221" Type="http://schemas.openxmlformats.org/officeDocument/2006/relationships/hyperlink" Target="https://tempfile.aiquickdraw.com/images/chatgpt/file_00000000dc3471f5b6165129487d1f68.png" TargetMode="External"/><Relationship Id="rId342" Type="http://schemas.openxmlformats.org/officeDocument/2006/relationships/hyperlink" Target="https://drive.google.com/uc?id=1iGLzVBImXNRnY2YToTGfO4dQB5NffJVA" TargetMode="External"/><Relationship Id="rId463" Type="http://schemas.openxmlformats.org/officeDocument/2006/relationships/hyperlink" Target="https://tempfile.aiquickdraw.com/images/chatgpt/file_00000000db4c81fdb810028b3720126e.png" TargetMode="External"/><Relationship Id="rId217" Type="http://schemas.openxmlformats.org/officeDocument/2006/relationships/hyperlink" Target="https://tempfile.aiquickdraw.com/images/chatgpt/file_00000000006871fdbfba2290f0240cc0.png" TargetMode="External"/><Relationship Id="rId338" Type="http://schemas.openxmlformats.org/officeDocument/2006/relationships/hyperlink" Target="https://drive.google.com/uc?id=1JWIXV01RywnBzugWwPyBNCxbHli8gLmi" TargetMode="External"/><Relationship Id="rId459" Type="http://schemas.openxmlformats.org/officeDocument/2006/relationships/hyperlink" Target="https://tempfile.aiquickdraw.com/images/chatgpt/file_000000001d28820c9151ce681ac0bb95.png" TargetMode="External"/><Relationship Id="rId216" Type="http://schemas.openxmlformats.org/officeDocument/2006/relationships/hyperlink" Target="https://tempfile.redpandaai.co/kieai/11402406/athena-refs/style_ref.jpg" TargetMode="External"/><Relationship Id="rId337" Type="http://schemas.openxmlformats.org/officeDocument/2006/relationships/hyperlink" Target="https://tempfile.redpandaai.co/kieai/11402406/athena-refs/style_ref.jpg" TargetMode="External"/><Relationship Id="rId458" Type="http://schemas.openxmlformats.org/officeDocument/2006/relationships/hyperlink" Target="https://tempfile.redpandaai.co/kieai/11402406/athena-refs/style_ref.jpg" TargetMode="External"/><Relationship Id="rId215" Type="http://schemas.openxmlformats.org/officeDocument/2006/relationships/hyperlink" Target="https://res.cloudinary.com/a1irmvxv/image/upload/f_auto,q_auto/hf_20260630_003148_8cdf9166-5c23-4c3d-8c7f-cf7f872a39ce_xgls2u" TargetMode="External"/><Relationship Id="rId336" Type="http://schemas.openxmlformats.org/officeDocument/2006/relationships/hyperlink" Target="https://res.cloudinary.com/a1irmvxv/image/upload/f_auto,q_auto/ChatGPT_Image_Jun_24_2026_02_27_36_PM_avlrpn" TargetMode="External"/><Relationship Id="rId457" Type="http://schemas.openxmlformats.org/officeDocument/2006/relationships/hyperlink" Target="https://res.cloudinary.com/a1irmvxv/image/upload/f_auto,q_auto/ChatGPT_Image_Jun_24_2026_02_26_06_PM_x1isth" TargetMode="External"/><Relationship Id="rId214" Type="http://schemas.openxmlformats.org/officeDocument/2006/relationships/hyperlink" Target="https://drive.google.com/uc?id=1ofXwCYyxnFw0LSlp9-qN-rYBKPxGIU5W" TargetMode="External"/><Relationship Id="rId335" Type="http://schemas.openxmlformats.org/officeDocument/2006/relationships/hyperlink" Target="https://tempfile.aiquickdraw.com/images/chatgpt/file_00000000848881fda40b5ac60ab4eb94.png" TargetMode="External"/><Relationship Id="rId456" Type="http://schemas.openxmlformats.org/officeDocument/2006/relationships/hyperlink" Target="https://drive.google.com/uc?id=1piNcrby3rajHw_--5Cz9_Ivm7xc1hk12" TargetMode="External"/><Relationship Id="rId219" Type="http://schemas.openxmlformats.org/officeDocument/2006/relationships/hyperlink" Target="https://res.cloudinary.com/a1irmvxv/image/upload/f_auto,q_auto/hf_20260630_003148_8cdf9166-5c23-4c3d-8c7f-cf7f872a39ce_xgls2u" TargetMode="External"/><Relationship Id="rId218" Type="http://schemas.openxmlformats.org/officeDocument/2006/relationships/hyperlink" Target="https://drive.google.com/uc?id=1twuX3OVwKgYy-Rqz4Cf8foLztdppGbJW" TargetMode="External"/><Relationship Id="rId339" Type="http://schemas.openxmlformats.org/officeDocument/2006/relationships/hyperlink" Target="https://res.cloudinary.com/a1irmvxv/image/upload/f_auto,q_auto/hf_20260630_003148_8cdf9166-5c23-4c3d-8c7f-cf7f872a39ce_xgls2u" TargetMode="External"/><Relationship Id="rId330" Type="http://schemas.openxmlformats.org/officeDocument/2006/relationships/hyperlink" Target="https://tempfile.redpandaai.co/kieai/11402406/athena-refs/style_ref.jpg" TargetMode="External"/><Relationship Id="rId451" Type="http://schemas.openxmlformats.org/officeDocument/2006/relationships/hyperlink" Target="https://tempfile.aiquickdraw.com/images/chatgpt/file_00000000a80081f69c3b3c0515b679e5.png" TargetMode="External"/><Relationship Id="rId450" Type="http://schemas.openxmlformats.org/officeDocument/2006/relationships/hyperlink" Target="https://tempfile.redpandaai.co/kieai/11402406/athena-refs/style_ref.jpg" TargetMode="External"/><Relationship Id="rId213" Type="http://schemas.openxmlformats.org/officeDocument/2006/relationships/hyperlink" Target="https://tempfile.aiquickdraw.com/images/chatgpt/file_0000000062c871f583f4b28cc42c5788.png" TargetMode="External"/><Relationship Id="rId334" Type="http://schemas.openxmlformats.org/officeDocument/2006/relationships/hyperlink" Target="https://tempfile.redpandaai.co/kieai/11402406/athena-refs/style_ref.jpg" TargetMode="External"/><Relationship Id="rId455" Type="http://schemas.openxmlformats.org/officeDocument/2006/relationships/hyperlink" Target="https://tempfile.aiquickdraw.com/images/chatgpt/file_00000000649081f58406383443baf7cc.png" TargetMode="External"/><Relationship Id="rId212" Type="http://schemas.openxmlformats.org/officeDocument/2006/relationships/hyperlink" Target="https://tempfile.redpandaai.co/kieai/11402406/athena-refs/style_ref.jpg" TargetMode="External"/><Relationship Id="rId333" Type="http://schemas.openxmlformats.org/officeDocument/2006/relationships/hyperlink" Target="https://res.cloudinary.com/a1irmvxv/image/upload/f_auto,q_auto/ChatGPT_Image_Jun_24_2026_02_27_36_PM_avlrpn" TargetMode="External"/><Relationship Id="rId454" Type="http://schemas.openxmlformats.org/officeDocument/2006/relationships/hyperlink" Target="https://tempfile.redpandaai.co/kieai/11402406/athena-refs/style_ref.jpg" TargetMode="External"/><Relationship Id="rId211" Type="http://schemas.openxmlformats.org/officeDocument/2006/relationships/hyperlink" Target="https://res.cloudinary.com/a1irmvxv/image/upload/f_auto,q_auto/hf_20260630_003148_8cdf9166-5c23-4c3d-8c7f-cf7f872a39ce_xgls2u" TargetMode="External"/><Relationship Id="rId332" Type="http://schemas.openxmlformats.org/officeDocument/2006/relationships/hyperlink" Target="https://drive.google.com/uc?id=1Bof2TuB9xiTrMfTkWFLfDxoP-_690NZv" TargetMode="External"/><Relationship Id="rId453" Type="http://schemas.openxmlformats.org/officeDocument/2006/relationships/hyperlink" Target="https://res.cloudinary.com/a1irmvxv/image/upload/f_auto,q_auto/ChatGPT_Image_Jun_24_2026_02_26_06_PM_x1isth" TargetMode="External"/><Relationship Id="rId210" Type="http://schemas.openxmlformats.org/officeDocument/2006/relationships/hyperlink" Target="https://drive.google.com/uc?id=1p4f93Rnw1CGlEAJ_LeSanR6v7ncEhEL5" TargetMode="External"/><Relationship Id="rId331" Type="http://schemas.openxmlformats.org/officeDocument/2006/relationships/hyperlink" Target="https://tempfile.aiquickdraw.com/images/chatgpt/file_00000000c26c81fbaee2149a0251a7a3.png" TargetMode="External"/><Relationship Id="rId452" Type="http://schemas.openxmlformats.org/officeDocument/2006/relationships/hyperlink" Target="https://drive.google.com/uc?id=1hywJrtsUhuUQjmnAA90oXzg-4oiFByHJ" TargetMode="External"/><Relationship Id="rId370" Type="http://schemas.openxmlformats.org/officeDocument/2006/relationships/hyperlink" Target="https://tempfile.redpandaai.co/kieai/11402406/athena-refs/style_ref.jpg" TargetMode="External"/><Relationship Id="rId491" Type="http://schemas.openxmlformats.org/officeDocument/2006/relationships/hyperlink" Target="https://tempfile.aiquickdraw.com/images/chatgpt/file_00000000b3ac81f6809e6e618577a4a6.png" TargetMode="External"/><Relationship Id="rId490" Type="http://schemas.openxmlformats.org/officeDocument/2006/relationships/hyperlink" Target="https://tempfile.redpandaai.co/kieai/11402406/athena-refs/style_ref.jpg" TargetMode="External"/><Relationship Id="rId129" Type="http://schemas.openxmlformats.org/officeDocument/2006/relationships/hyperlink" Target="https://tempfile.aiquickdraw.com/images/chatgpt/file_000000004ad471f596f04c75d1752262.png" TargetMode="External"/><Relationship Id="rId128" Type="http://schemas.openxmlformats.org/officeDocument/2006/relationships/hyperlink" Target="https://tempfile.redpandaai.co/kieai/11402406/athena-refs/style_ref.jpg" TargetMode="External"/><Relationship Id="rId249" Type="http://schemas.openxmlformats.org/officeDocument/2006/relationships/hyperlink" Target="https://tempfile.aiquickdraw.com/images/chatgpt/file_00000000e500722fb5c7f13f76f5eb46.png" TargetMode="External"/><Relationship Id="rId127" Type="http://schemas.openxmlformats.org/officeDocument/2006/relationships/hyperlink" Target="https://res.cloudinary.com/a1irmvxv/image/upload/f_auto,q_auto/ChatGPT_Image_Jun_24_2026_02_27_36_PM_avlrpn" TargetMode="External"/><Relationship Id="rId248" Type="http://schemas.openxmlformats.org/officeDocument/2006/relationships/hyperlink" Target="https://tempfile.redpandaai.co/kieai/11402406/athena-refs/style_ref.jpg" TargetMode="External"/><Relationship Id="rId369" Type="http://schemas.openxmlformats.org/officeDocument/2006/relationships/hyperlink" Target="https://res.cloudinary.com/a1irmvxv/image/upload/f_auto,q_auto/hf_20260630_003148_8cdf9166-5c23-4c3d-8c7f-cf7f872a39ce_xgls2u" TargetMode="External"/><Relationship Id="rId126" Type="http://schemas.openxmlformats.org/officeDocument/2006/relationships/hyperlink" Target="https://drive.google.com/uc?id=1qoJNYYcQOcAyYXvqpK9g7vbYnKjREQzq" TargetMode="External"/><Relationship Id="rId247" Type="http://schemas.openxmlformats.org/officeDocument/2006/relationships/hyperlink" Target="https://res.cloudinary.com/a1irmvxv/image/upload/f_auto,q_auto/ChatGPT_Image_Jul_13_2026_02_32_35_PM_wx14ep" TargetMode="External"/><Relationship Id="rId368" Type="http://schemas.openxmlformats.org/officeDocument/2006/relationships/hyperlink" Target="https://drive.google.com/uc?id=1WetMA-KcTPlBB3XFeEimnVNLRjbjg8Th" TargetMode="External"/><Relationship Id="rId489" Type="http://schemas.openxmlformats.org/officeDocument/2006/relationships/hyperlink" Target="https://res.cloudinary.com/a1irmvxv/image/upload/f_auto,q_auto/hf_20260630_002349_744b79a7-84f6-4760-9bb8-95a9d0e040e3_1_jnwc44" TargetMode="External"/><Relationship Id="rId121" Type="http://schemas.openxmlformats.org/officeDocument/2006/relationships/hyperlink" Target="https://tempfile.aiquickdraw.com/images/chatgpt/file_000000003fd071f6bc8aacae61f22abd.png" TargetMode="External"/><Relationship Id="rId242" Type="http://schemas.openxmlformats.org/officeDocument/2006/relationships/hyperlink" Target="https://drive.google.com/uc?id=1vn_i7DYUWLlJC0xtuZgv7xPgc2Eq5K--" TargetMode="External"/><Relationship Id="rId363" Type="http://schemas.openxmlformats.org/officeDocument/2006/relationships/hyperlink" Target="https://tempfile.aiquickdraw.com/images/chatgpt/file_00000000ef1c8230aa3836bd9b3f5d97.png" TargetMode="External"/><Relationship Id="rId484" Type="http://schemas.openxmlformats.org/officeDocument/2006/relationships/hyperlink" Target="https://drive.google.com/uc?id=1_aqXtuUo8nDPKzaFAt7sTQPjQ0S-U3E4" TargetMode="External"/><Relationship Id="rId120" Type="http://schemas.openxmlformats.org/officeDocument/2006/relationships/hyperlink" Target="https://tempfile.redpandaai.co/kieai/11402406/athena-refs/style_ref.jpg" TargetMode="External"/><Relationship Id="rId241" Type="http://schemas.openxmlformats.org/officeDocument/2006/relationships/hyperlink" Target="https://tempfile.aiquickdraw.com/images/chatgpt/file_0000000044b8722f8fbe61d927503710.png" TargetMode="External"/><Relationship Id="rId362" Type="http://schemas.openxmlformats.org/officeDocument/2006/relationships/hyperlink" Target="https://tempfile.redpandaai.co/kieai/11402406/athena-refs/style_ref.jpg" TargetMode="External"/><Relationship Id="rId483" Type="http://schemas.openxmlformats.org/officeDocument/2006/relationships/hyperlink" Target="https://tempfile.aiquickdraw.com/images/chatgpt/file_00000000367c822f88adba7730f54010.png" TargetMode="External"/><Relationship Id="rId240" Type="http://schemas.openxmlformats.org/officeDocument/2006/relationships/hyperlink" Target="https://tempfile.redpandaai.co/kieai/11402406/athena-refs/style_ref.jpg" TargetMode="External"/><Relationship Id="rId361" Type="http://schemas.openxmlformats.org/officeDocument/2006/relationships/hyperlink" Target="https://res.cloudinary.com/a1irmvxv/image/upload/f_auto,q_auto/hf_20260630_003148_8cdf9166-5c23-4c3d-8c7f-cf7f872a39ce_xgls2u" TargetMode="External"/><Relationship Id="rId482" Type="http://schemas.openxmlformats.org/officeDocument/2006/relationships/hyperlink" Target="https://tempfile.redpandaai.co/kieai/11402406/athena-refs/style_ref.jpg" TargetMode="External"/><Relationship Id="rId360" Type="http://schemas.openxmlformats.org/officeDocument/2006/relationships/hyperlink" Target="https://drive.google.com/uc?id=1c3Be8fh4eJ2GrAlHdWigUarPyo0WdSWa" TargetMode="External"/><Relationship Id="rId481" Type="http://schemas.openxmlformats.org/officeDocument/2006/relationships/hyperlink" Target="https://res.cloudinary.com/a1irmvxv/image/upload/f_auto,q_auto/hf_20260630_002349_744b79a7-84f6-4760-9bb8-95a9d0e040e3_1_jnwc44" TargetMode="External"/><Relationship Id="rId125" Type="http://schemas.openxmlformats.org/officeDocument/2006/relationships/hyperlink" Target="https://tempfile.aiquickdraw.com/images/chatgpt/file_00000000e6e471f68f41dc58836b90fb.png" TargetMode="External"/><Relationship Id="rId246" Type="http://schemas.openxmlformats.org/officeDocument/2006/relationships/hyperlink" Target="https://drive.google.com/uc?id=1T72vne-xBZEbnSSkyTor_PAhOiOtJyNp" TargetMode="External"/><Relationship Id="rId367" Type="http://schemas.openxmlformats.org/officeDocument/2006/relationships/hyperlink" Target="https://tempfile.aiquickdraw.com/images/chatgpt/file_00000000b9e481f59304d7070a17c9ca.png" TargetMode="External"/><Relationship Id="rId488" Type="http://schemas.openxmlformats.org/officeDocument/2006/relationships/hyperlink" Target="https://drive.google.com/uc?id=1ouMFxnQKWbyLQRuhrF7dLwGN7d4sssNv" TargetMode="External"/><Relationship Id="rId124" Type="http://schemas.openxmlformats.org/officeDocument/2006/relationships/hyperlink" Target="https://tempfile.redpandaai.co/kieai/11402406/athena-refs/style_ref.jpg" TargetMode="External"/><Relationship Id="rId245" Type="http://schemas.openxmlformats.org/officeDocument/2006/relationships/hyperlink" Target="https://tempfile.aiquickdraw.com/images/chatgpt/file_000000001cc071fd9be885182b132e50.png" TargetMode="External"/><Relationship Id="rId366" Type="http://schemas.openxmlformats.org/officeDocument/2006/relationships/hyperlink" Target="https://tempfile.redpandaai.co/kieai/11402406/athena-refs/style_ref.jpg" TargetMode="External"/><Relationship Id="rId487" Type="http://schemas.openxmlformats.org/officeDocument/2006/relationships/hyperlink" Target="https://tempfile.aiquickdraw.com/images/chatgpt/file_00000000c82481f7bdce56a3bfb8a5d3.png" TargetMode="External"/><Relationship Id="rId123" Type="http://schemas.openxmlformats.org/officeDocument/2006/relationships/hyperlink" Target="https://res.cloudinary.com/a1irmvxv/image/upload/f_auto,q_auto/ChatGPT_Image_Jun_24_2026_02_27_36_PM_avlrpn" TargetMode="External"/><Relationship Id="rId244" Type="http://schemas.openxmlformats.org/officeDocument/2006/relationships/hyperlink" Target="https://tempfile.redpandaai.co/kieai/11402406/athena-refs/style_ref.jpg" TargetMode="External"/><Relationship Id="rId365" Type="http://schemas.openxmlformats.org/officeDocument/2006/relationships/hyperlink" Target="https://res.cloudinary.com/a1irmvxv/image/upload/f_auto,q_auto/hf_20260630_003148_8cdf9166-5c23-4c3d-8c7f-cf7f872a39ce_xgls2u" TargetMode="External"/><Relationship Id="rId486" Type="http://schemas.openxmlformats.org/officeDocument/2006/relationships/hyperlink" Target="https://tempfile.redpandaai.co/kieai/11402406/athena-refs/style_ref.jpg" TargetMode="External"/><Relationship Id="rId122" Type="http://schemas.openxmlformats.org/officeDocument/2006/relationships/hyperlink" Target="https://drive.google.com/uc?id=1X0hT5NlDkBvTNS_WOStaX30kWNOWYP9D" TargetMode="External"/><Relationship Id="rId243" Type="http://schemas.openxmlformats.org/officeDocument/2006/relationships/hyperlink" Target="https://res.cloudinary.com/a1irmvxv/image/upload/f_auto,q_auto/hf_20260630_003148_8cdf9166-5c23-4c3d-8c7f-cf7f872a39ce_xgls2u" TargetMode="External"/><Relationship Id="rId364" Type="http://schemas.openxmlformats.org/officeDocument/2006/relationships/hyperlink" Target="https://drive.google.com/uc?id=1QnfIUdLFzzPUaReQLTkLaDW3YNLBff_G" TargetMode="External"/><Relationship Id="rId485" Type="http://schemas.openxmlformats.org/officeDocument/2006/relationships/hyperlink" Target="https://res.cloudinary.com/a1irmvxv/image/upload/f_auto,q_auto/hf_20260630_002349_744b79a7-84f6-4760-9bb8-95a9d0e040e3_1_jnwc44" TargetMode="External"/><Relationship Id="rId95" Type="http://schemas.openxmlformats.org/officeDocument/2006/relationships/hyperlink" Target="https://tempfile.aiquickdraw.com/images/chatgpt/file_00000000082471f598eb8043f40701e8.png" TargetMode="External"/><Relationship Id="rId94" Type="http://schemas.openxmlformats.org/officeDocument/2006/relationships/hyperlink" Target="https://tempfile.redpandaai.co/kieai/11402406/athena-refs/style_ref.jpg" TargetMode="External"/><Relationship Id="rId97" Type="http://schemas.openxmlformats.org/officeDocument/2006/relationships/hyperlink" Target="https://res.cloudinary.com/a1irmvxv/image/upload/f_auto,q_auto/hf_20260630_002349_744b79a7-84f6-4760-9bb8-95a9d0e040e3_1_jnwc44" TargetMode="External"/><Relationship Id="rId96" Type="http://schemas.openxmlformats.org/officeDocument/2006/relationships/hyperlink" Target="https://drive.google.com/uc?id=1KGIdPh3dKlnuumvkcGkB4NdrN3-Ycf3k" TargetMode="External"/><Relationship Id="rId99" Type="http://schemas.openxmlformats.org/officeDocument/2006/relationships/hyperlink" Target="https://tempfile.aiquickdraw.com/images/chatgpt/file_00000000575471f5b4cc1d19999713e8.png" TargetMode="External"/><Relationship Id="rId480" Type="http://schemas.openxmlformats.org/officeDocument/2006/relationships/hyperlink" Target="https://drive.google.com/uc?id=11uR4-giua9lyqE6fMVoVoses-m7LLSsH" TargetMode="External"/><Relationship Id="rId98" Type="http://schemas.openxmlformats.org/officeDocument/2006/relationships/hyperlink" Target="https://tempfile.redpandaai.co/kieai/11402406/athena-refs/style_ref.jpg" TargetMode="External"/><Relationship Id="rId91" Type="http://schemas.openxmlformats.org/officeDocument/2006/relationships/hyperlink" Target="https://tempfile.aiquickdraw.com/images/chatgpt/file_0000000094b471fb934d8b2d8bcbce73.png" TargetMode="External"/><Relationship Id="rId90" Type="http://schemas.openxmlformats.org/officeDocument/2006/relationships/hyperlink" Target="https://tempfile.redpandaai.co/kieai/11402406/athena-refs/style_ref.jpg" TargetMode="External"/><Relationship Id="rId93" Type="http://schemas.openxmlformats.org/officeDocument/2006/relationships/hyperlink" Target="https://res.cloudinary.com/a1irmvxv/image/upload/f_auto,q_auto/hf_20260630_002349_744b79a7-84f6-4760-9bb8-95a9d0e040e3_1_jnwc44" TargetMode="External"/><Relationship Id="rId92" Type="http://schemas.openxmlformats.org/officeDocument/2006/relationships/hyperlink" Target="https://drive.google.com/uc?id=1EgZXIi16Sv4Fsy2P1_pU6AHL6abBtQku" TargetMode="External"/><Relationship Id="rId118" Type="http://schemas.openxmlformats.org/officeDocument/2006/relationships/hyperlink" Target="https://drive.google.com/uc?id=1DuNK1hvj6hiqW9cGaCR-G1wC_doeCnyV" TargetMode="External"/><Relationship Id="rId239" Type="http://schemas.openxmlformats.org/officeDocument/2006/relationships/hyperlink" Target="https://res.cloudinary.com/a1irmvxv/image/upload/f_auto,q_auto/hf_20260630_003148_8cdf9166-5c23-4c3d-8c7f-cf7f872a39ce_xgls2u" TargetMode="External"/><Relationship Id="rId117" Type="http://schemas.openxmlformats.org/officeDocument/2006/relationships/hyperlink" Target="https://tempfile.aiquickdraw.com/images/chatgpt/file_00000000defc71f5a97943ab322cd9ab.png" TargetMode="External"/><Relationship Id="rId238" Type="http://schemas.openxmlformats.org/officeDocument/2006/relationships/hyperlink" Target="https://drive.google.com/uc?id=1DlQa4LcFBfNAQUjQb0DHqfYbyStlLgLc" TargetMode="External"/><Relationship Id="rId359" Type="http://schemas.openxmlformats.org/officeDocument/2006/relationships/hyperlink" Target="https://tempfile.aiquickdraw.com/images/chatgpt/file_00000000777c820c87fabe81fdec1bdd.png" TargetMode="External"/><Relationship Id="rId116" Type="http://schemas.openxmlformats.org/officeDocument/2006/relationships/hyperlink" Target="https://tempfile.redpandaai.co/kieai/11402406/athena-refs/style_ref.jpg" TargetMode="External"/><Relationship Id="rId237" Type="http://schemas.openxmlformats.org/officeDocument/2006/relationships/hyperlink" Target="https://tempfile.aiquickdraw.com/images/chatgpt/file_000000002a7471f5870a2576ebd0683d.png" TargetMode="External"/><Relationship Id="rId358" Type="http://schemas.openxmlformats.org/officeDocument/2006/relationships/hyperlink" Target="https://tempfile.redpandaai.co/kieai/11402406/athena-refs/style_ref.jpg" TargetMode="External"/><Relationship Id="rId479" Type="http://schemas.openxmlformats.org/officeDocument/2006/relationships/hyperlink" Target="https://tempfile.aiquickdraw.com/images/chatgpt/file_00000000ea8081f5ba8c7e206116b347.png" TargetMode="External"/><Relationship Id="rId115" Type="http://schemas.openxmlformats.org/officeDocument/2006/relationships/hyperlink" Target="https://res.cloudinary.com/a1irmvxv/image/upload/f_auto,q_auto/ChatGPT_Image_Jun_24_2026_02_27_36_PM_avlrpn" TargetMode="External"/><Relationship Id="rId236" Type="http://schemas.openxmlformats.org/officeDocument/2006/relationships/hyperlink" Target="https://tempfile.redpandaai.co/kieai/11402406/athena-refs/style_ref.jpg" TargetMode="External"/><Relationship Id="rId357" Type="http://schemas.openxmlformats.org/officeDocument/2006/relationships/hyperlink" Target="https://res.cloudinary.com/a1irmvxv/image/upload/f_auto,q_auto/hf_20260630_003148_8cdf9166-5c23-4c3d-8c7f-cf7f872a39ce_xgls2u" TargetMode="External"/><Relationship Id="rId478" Type="http://schemas.openxmlformats.org/officeDocument/2006/relationships/hyperlink" Target="https://tempfile.redpandaai.co/kieai/11402406/athena-refs/style_ref.jpg" TargetMode="External"/><Relationship Id="rId119" Type="http://schemas.openxmlformats.org/officeDocument/2006/relationships/hyperlink" Target="https://res.cloudinary.com/a1irmvxv/image/upload/f_auto,q_auto/ChatGPT_Image_Jun_24_2026_02_27_36_PM_avlrpn" TargetMode="External"/><Relationship Id="rId110" Type="http://schemas.openxmlformats.org/officeDocument/2006/relationships/hyperlink" Target="https://tempfile.redpandaai.co/kieai/11402406/athena-refs/style_ref.jpg" TargetMode="External"/><Relationship Id="rId231" Type="http://schemas.openxmlformats.org/officeDocument/2006/relationships/hyperlink" Target="https://res.cloudinary.com/a1irmvxv/image/upload/f_auto,q_auto/hf_20260630_003148_8cdf9166-5c23-4c3d-8c7f-cf7f872a39ce_xgls2u" TargetMode="External"/><Relationship Id="rId352" Type="http://schemas.openxmlformats.org/officeDocument/2006/relationships/hyperlink" Target="https://drive.google.com/uc?id=1hccahspqV0banm876ikyglhfyErqqMgB" TargetMode="External"/><Relationship Id="rId473" Type="http://schemas.openxmlformats.org/officeDocument/2006/relationships/hyperlink" Target="https://res.cloudinary.com/a1irmvxv/image/upload/f_auto,q_auto/hf_20260630_002349_744b79a7-84f6-4760-9bb8-95a9d0e040e3_1_jnwc44" TargetMode="External"/><Relationship Id="rId230" Type="http://schemas.openxmlformats.org/officeDocument/2006/relationships/hyperlink" Target="https://drive.google.com/uc?id=1AbVaR6fq5L_CV5FG1XP8qmRX5shglTBR" TargetMode="External"/><Relationship Id="rId351" Type="http://schemas.openxmlformats.org/officeDocument/2006/relationships/hyperlink" Target="https://tempfile.redpandaai.co/kieai/11402406/athena-refs/style_ref.jpg" TargetMode="External"/><Relationship Id="rId472" Type="http://schemas.openxmlformats.org/officeDocument/2006/relationships/hyperlink" Target="https://drive.google.com/uc?id=1qVVm7k4tAajrqOwKe31BSyh8tKVv__eC" TargetMode="External"/><Relationship Id="rId350" Type="http://schemas.openxmlformats.org/officeDocument/2006/relationships/hyperlink" Target="https://res.cloudinary.com/a1irmvxv/image/upload/f_auto,q_auto/hf_20260630_003148_8cdf9166-5c23-4c3d-8c7f-cf7f872a39ce_xgls2u" TargetMode="External"/><Relationship Id="rId471" Type="http://schemas.openxmlformats.org/officeDocument/2006/relationships/hyperlink" Target="https://tempfile.aiquickdraw.com/images/chatgpt/file_0000000009e081f59a4800660ba81c1a.png" TargetMode="External"/><Relationship Id="rId470" Type="http://schemas.openxmlformats.org/officeDocument/2006/relationships/hyperlink" Target="https://tempfile.redpandaai.co/kieai/11402406/athena-refs/style_ref.jpg" TargetMode="External"/><Relationship Id="rId114" Type="http://schemas.openxmlformats.org/officeDocument/2006/relationships/hyperlink" Target="https://drive.google.com/uc?id=1ojBIubLRe57p05nJAOfdns2jpiD4VQ63" TargetMode="External"/><Relationship Id="rId235" Type="http://schemas.openxmlformats.org/officeDocument/2006/relationships/hyperlink" Target="https://res.cloudinary.com/a1irmvxv/image/upload/f_auto,q_auto/hf_20260630_003148_8cdf9166-5c23-4c3d-8c7f-cf7f872a39ce_xgls2u" TargetMode="External"/><Relationship Id="rId356" Type="http://schemas.openxmlformats.org/officeDocument/2006/relationships/hyperlink" Target="https://drive.google.com/uc?id=1Wo_wiUtulyUVXvi66T7Uj02w9AA3rKbK" TargetMode="External"/><Relationship Id="rId477" Type="http://schemas.openxmlformats.org/officeDocument/2006/relationships/hyperlink" Target="https://res.cloudinary.com/a1irmvxv/image/upload/f_auto,q_auto/hf_20260630_002349_744b79a7-84f6-4760-9bb8-95a9d0e040e3_1_jnwc44" TargetMode="External"/><Relationship Id="rId113" Type="http://schemas.openxmlformats.org/officeDocument/2006/relationships/hyperlink" Target="https://tempfile.redpandaai.co/kieai/11402406/athena-refs/style_ref.jpg" TargetMode="External"/><Relationship Id="rId234" Type="http://schemas.openxmlformats.org/officeDocument/2006/relationships/hyperlink" Target="https://drive.google.com/uc?id=1xqUduS_awunc7GddEZLuc2bRW_1oXbGh" TargetMode="External"/><Relationship Id="rId355" Type="http://schemas.openxmlformats.org/officeDocument/2006/relationships/hyperlink" Target="https://tempfile.aiquickdraw.com/images/chatgpt/file_000000009b94820cb8ae055c50751f25.png" TargetMode="External"/><Relationship Id="rId476" Type="http://schemas.openxmlformats.org/officeDocument/2006/relationships/hyperlink" Target="https://drive.google.com/uc?id=1HGXQScckhfxJIdjdFQJhTMM3GxxtdfU9" TargetMode="External"/><Relationship Id="rId112" Type="http://schemas.openxmlformats.org/officeDocument/2006/relationships/hyperlink" Target="https://res.cloudinary.com/a1irmvxv/image/upload/f_auto,q_auto/ChatGPT_Image_Jun_24_2026_02_27_36_PM_avlrpn" TargetMode="External"/><Relationship Id="rId233" Type="http://schemas.openxmlformats.org/officeDocument/2006/relationships/hyperlink" Target="https://tempfile.aiquickdraw.com/images/chatgpt/file_00000000333c71f5866e5fb33d323a18.png" TargetMode="External"/><Relationship Id="rId354" Type="http://schemas.openxmlformats.org/officeDocument/2006/relationships/hyperlink" Target="https://tempfile.redpandaai.co/kieai/11402406/athena-refs/style_ref.jpg" TargetMode="External"/><Relationship Id="rId475" Type="http://schemas.openxmlformats.org/officeDocument/2006/relationships/hyperlink" Target="https://tempfile.aiquickdraw.com/images/chatgpt/file_00000000f1d8820c9e3886cc5524d6ec.png" TargetMode="External"/><Relationship Id="rId111" Type="http://schemas.openxmlformats.org/officeDocument/2006/relationships/hyperlink" Target="https://tempfile.aiquickdraw.com/images/chatgpt/file_000000000c3471f584d4c90493ed0a04.png" TargetMode="External"/><Relationship Id="rId232" Type="http://schemas.openxmlformats.org/officeDocument/2006/relationships/hyperlink" Target="https://tempfile.redpandaai.co/kieai/11402406/athena-refs/style_ref.jpg" TargetMode="External"/><Relationship Id="rId353" Type="http://schemas.openxmlformats.org/officeDocument/2006/relationships/hyperlink" Target="https://res.cloudinary.com/a1irmvxv/image/upload/f_auto,q_auto/hf_20260630_003148_8cdf9166-5c23-4c3d-8c7f-cf7f872a39ce_xgls2u" TargetMode="External"/><Relationship Id="rId474" Type="http://schemas.openxmlformats.org/officeDocument/2006/relationships/hyperlink" Target="https://tempfile.redpandaai.co/kieai/11402406/athena-refs/style_ref.jpg" TargetMode="External"/><Relationship Id="rId305" Type="http://schemas.openxmlformats.org/officeDocument/2006/relationships/hyperlink" Target="https://tempfile.redpandaai.co/kieai/11402406/athena-refs/style_ref.jpg" TargetMode="External"/><Relationship Id="rId426" Type="http://schemas.openxmlformats.org/officeDocument/2006/relationships/hyperlink" Target="https://tempfile.redpandaai.co/kieai/11402406/athena-refs/style_ref.jpg" TargetMode="External"/><Relationship Id="rId304" Type="http://schemas.openxmlformats.org/officeDocument/2006/relationships/hyperlink" Target="https://res.cloudinary.com/a1irmvxv/image/upload/f_auto,q_auto/hf_20260630_002349_744b79a7-84f6-4760-9bb8-95a9d0e040e3_1_jnwc44" TargetMode="External"/><Relationship Id="rId425" Type="http://schemas.openxmlformats.org/officeDocument/2006/relationships/hyperlink" Target="https://res.cloudinary.com/a1irmvxv/image/upload/f_auto,q_auto/ChatGPT_Image_Jun_24_2026_02_26_06_PM_x1isth" TargetMode="External"/><Relationship Id="rId303" Type="http://schemas.openxmlformats.org/officeDocument/2006/relationships/hyperlink" Target="https://tempfile.aiquickdraw.com/images/chatgpt/file_00000000bdcc81f69df8f66f512f6571.png" TargetMode="External"/><Relationship Id="rId424" Type="http://schemas.openxmlformats.org/officeDocument/2006/relationships/hyperlink" Target="https://drive.google.com/uc?id=1kLCu4JoqWSfjtyhKzVaCfaOd8oXhoUJG" TargetMode="External"/><Relationship Id="rId302" Type="http://schemas.openxmlformats.org/officeDocument/2006/relationships/hyperlink" Target="https://tempfile.redpandaai.co/kieai/11402406/athena-refs/style_ref.jpg" TargetMode="External"/><Relationship Id="rId423" Type="http://schemas.openxmlformats.org/officeDocument/2006/relationships/hyperlink" Target="https://tempfile.aiquickdraw.com/images/chatgpt/file_0000000071a081f586840d6de96d03a0.png" TargetMode="External"/><Relationship Id="rId309" Type="http://schemas.openxmlformats.org/officeDocument/2006/relationships/hyperlink" Target="https://tempfile.aiquickdraw.com/images/chatgpt/file_00000000282881f587a2e5aef1c676bc.png" TargetMode="External"/><Relationship Id="rId308" Type="http://schemas.openxmlformats.org/officeDocument/2006/relationships/hyperlink" Target="https://tempfile.redpandaai.co/kieai/11402406/athena-refs/style_ref.jpg" TargetMode="External"/><Relationship Id="rId429" Type="http://schemas.openxmlformats.org/officeDocument/2006/relationships/hyperlink" Target="https://tempfile.redpandaai.co/kieai/11402406/athena-refs/style_ref.jpg" TargetMode="External"/><Relationship Id="rId307" Type="http://schemas.openxmlformats.org/officeDocument/2006/relationships/hyperlink" Target="https://res.cloudinary.com/a1irmvxv/image/upload/f_auto,q_auto/hf_20260630_002349_744b79a7-84f6-4760-9bb8-95a9d0e040e3_1_jnwc44" TargetMode="External"/><Relationship Id="rId428" Type="http://schemas.openxmlformats.org/officeDocument/2006/relationships/hyperlink" Target="https://res.cloudinary.com/a1irmvxv/image/upload/f_auto,q_auto/ChatGPT_Image_Jun_24_2026_02_26_06_PM_x1isth" TargetMode="External"/><Relationship Id="rId306" Type="http://schemas.openxmlformats.org/officeDocument/2006/relationships/hyperlink" Target="https://drive.google.com/uc?id=1wCoviRq70ODmORyg1UpxqrZk-56bFhPQ" TargetMode="External"/><Relationship Id="rId427" Type="http://schemas.openxmlformats.org/officeDocument/2006/relationships/hyperlink" Target="https://tempfile.aiquickdraw.com/images/chatgpt/file_0000000071a481f5a061908d3e9cea3b.png" TargetMode="External"/><Relationship Id="rId301" Type="http://schemas.openxmlformats.org/officeDocument/2006/relationships/hyperlink" Target="https://res.cloudinary.com/a1irmvxv/image/upload/f_auto,q_auto/hf_20260630_002349_744b79a7-84f6-4760-9bb8-95a9d0e040e3_1_jnwc44" TargetMode="External"/><Relationship Id="rId422" Type="http://schemas.openxmlformats.org/officeDocument/2006/relationships/hyperlink" Target="https://tempfile.redpandaai.co/kieai/11402406/athena-refs/style_ref.jpg" TargetMode="External"/><Relationship Id="rId300" Type="http://schemas.openxmlformats.org/officeDocument/2006/relationships/hyperlink" Target="https://drive.google.com/uc?id=1okYitVd-SpD92B_GZa74yEHRttLCIfLR" TargetMode="External"/><Relationship Id="rId421" Type="http://schemas.openxmlformats.org/officeDocument/2006/relationships/hyperlink" Target="https://res.cloudinary.com/a1irmvxv/image/upload/f_auto,q_auto/ChatGPT_Image_Jun_24_2026_02_26_06_PM_x1isth" TargetMode="External"/><Relationship Id="rId420" Type="http://schemas.openxmlformats.org/officeDocument/2006/relationships/hyperlink" Target="https://drive.google.com/uc?id=1a7ugMlHeZdaB9tgePSDTahQwZO3gmAaH" TargetMode="External"/><Relationship Id="rId415" Type="http://schemas.openxmlformats.org/officeDocument/2006/relationships/hyperlink" Target="https://tempfile.aiquickdraw.com/images/chatgpt/file_0000000088fc81f6be0d6712846e6ca0.png" TargetMode="External"/><Relationship Id="rId414" Type="http://schemas.openxmlformats.org/officeDocument/2006/relationships/hyperlink" Target="https://tempfile.redpandaai.co/kieai/11402406/athena-refs/style_ref.jpg" TargetMode="External"/><Relationship Id="rId413" Type="http://schemas.openxmlformats.org/officeDocument/2006/relationships/hyperlink" Target="https://res.cloudinary.com/a1irmvxv/image/upload/f_auto,q_auto/ChatGPT_Image_Jul_13_2026_02_32_35_PM_wx14ep" TargetMode="External"/><Relationship Id="rId412" Type="http://schemas.openxmlformats.org/officeDocument/2006/relationships/hyperlink" Target="https://drive.google.com/uc?id=1pQWnx_IhVfJ0PgvGtWbXJcsJXJv-Sbdu" TargetMode="External"/><Relationship Id="rId419" Type="http://schemas.openxmlformats.org/officeDocument/2006/relationships/hyperlink" Target="https://tempfile.aiquickdraw.com/images/chatgpt/file_00000000199481f589846b7c44332a2d.png" TargetMode="External"/><Relationship Id="rId418" Type="http://schemas.openxmlformats.org/officeDocument/2006/relationships/hyperlink" Target="https://tempfile.redpandaai.co/kieai/11402406/athena-refs/style_ref.jpg" TargetMode="External"/><Relationship Id="rId417" Type="http://schemas.openxmlformats.org/officeDocument/2006/relationships/hyperlink" Target="https://res.cloudinary.com/a1irmvxv/image/upload/f_auto,q_auto/ChatGPT_Image_Jun_24_2026_02_26_06_PM_x1isth" TargetMode="External"/><Relationship Id="rId416" Type="http://schemas.openxmlformats.org/officeDocument/2006/relationships/hyperlink" Target="https://drive.google.com/uc?id=1hBNktJcx9KHkAIxQWe6NCivhn6gJ4UKw" TargetMode="External"/><Relationship Id="rId411" Type="http://schemas.openxmlformats.org/officeDocument/2006/relationships/hyperlink" Target="https://tempfile.aiquickdraw.com/images/chatgpt/file_0000000073f481f5b8556b51a7b00704.png" TargetMode="External"/><Relationship Id="rId410" Type="http://schemas.openxmlformats.org/officeDocument/2006/relationships/hyperlink" Target="https://tempfile.redpandaai.co/kieai/11402406/athena-refs/style_ref.jpg" TargetMode="External"/><Relationship Id="rId206" Type="http://schemas.openxmlformats.org/officeDocument/2006/relationships/hyperlink" Target="https://drive.google.com/uc?id=1W9ePHiLYX6CpUUHiMVbwA2z70R2_ajrb" TargetMode="External"/><Relationship Id="rId327" Type="http://schemas.openxmlformats.org/officeDocument/2006/relationships/hyperlink" Target="https://tempfile.aiquickdraw.com/images/chatgpt/file_00000000f2b081fd9c350add7946f0be.png" TargetMode="External"/><Relationship Id="rId448" Type="http://schemas.openxmlformats.org/officeDocument/2006/relationships/hyperlink" Target="https://drive.google.com/uc?id=1gNLP7v2yUiSrWnYnARt_jllLrDcJyz9R" TargetMode="External"/><Relationship Id="rId205" Type="http://schemas.openxmlformats.org/officeDocument/2006/relationships/hyperlink" Target="https://tempfile.aiquickdraw.com/images/chatgpt/file_0000000021d0722f8bfa93849d8cd66d.png" TargetMode="External"/><Relationship Id="rId326" Type="http://schemas.openxmlformats.org/officeDocument/2006/relationships/hyperlink" Target="https://tempfile.redpandaai.co/kieai/11402406/athena-refs/style_ref.jpg" TargetMode="External"/><Relationship Id="rId447" Type="http://schemas.openxmlformats.org/officeDocument/2006/relationships/hyperlink" Target="https://tempfile.aiquickdraw.com/images/chatgpt/file_00000000ff30822f946db37b01ceec19.png" TargetMode="External"/><Relationship Id="rId204" Type="http://schemas.openxmlformats.org/officeDocument/2006/relationships/hyperlink" Target="https://tempfile.redpandaai.co/kieai/11402406/athena-refs/style_ref.jpg" TargetMode="External"/><Relationship Id="rId325" Type="http://schemas.openxmlformats.org/officeDocument/2006/relationships/hyperlink" Target="https://res.cloudinary.com/a1irmvxv/image/upload/f_auto,q_auto/ChatGPT_Image_Jun_24_2026_02_27_36_PM_avlrpn" TargetMode="External"/><Relationship Id="rId446" Type="http://schemas.openxmlformats.org/officeDocument/2006/relationships/hyperlink" Target="https://tempfile.redpandaai.co/kieai/11402406/athena-refs/style_ref.jpg" TargetMode="External"/><Relationship Id="rId203" Type="http://schemas.openxmlformats.org/officeDocument/2006/relationships/hyperlink" Target="https://res.cloudinary.com/a1irmvxv/image/upload/f_auto,q_auto/ChatGPT_Image_Jun_24_2026_02_26_06_PM_x1isth" TargetMode="External"/><Relationship Id="rId324" Type="http://schemas.openxmlformats.org/officeDocument/2006/relationships/hyperlink" Target="https://drive.google.com/uc?id=1nMaCePdTei_GCgL2eJIqnVBuB53XxlOw" TargetMode="External"/><Relationship Id="rId445" Type="http://schemas.openxmlformats.org/officeDocument/2006/relationships/hyperlink" Target="https://res.cloudinary.com/a1irmvxv/image/upload/f_auto,q_auto/ChatGPT_Image_Jun_24_2026_02_26_06_PM_x1isth" TargetMode="External"/><Relationship Id="rId209" Type="http://schemas.openxmlformats.org/officeDocument/2006/relationships/hyperlink" Target="https://tempfile.aiquickdraw.com/images/chatgpt/file_000000003de0722fb078586b969b94a6.png" TargetMode="External"/><Relationship Id="rId208" Type="http://schemas.openxmlformats.org/officeDocument/2006/relationships/hyperlink" Target="https://tempfile.redpandaai.co/kieai/11402406/athena-refs/style_ref.jpg" TargetMode="External"/><Relationship Id="rId329" Type="http://schemas.openxmlformats.org/officeDocument/2006/relationships/hyperlink" Target="https://res.cloudinary.com/a1irmvxv/image/upload/f_auto,q_auto/ChatGPT_Image_Jun_24_2026_02_27_36_PM_avlrpn" TargetMode="External"/><Relationship Id="rId207" Type="http://schemas.openxmlformats.org/officeDocument/2006/relationships/hyperlink" Target="https://res.cloudinary.com/a1irmvxv/image/upload/f_auto,q_auto/ChatGPT_Image_Jun_24_2026_02_26_06_PM_x1isth" TargetMode="External"/><Relationship Id="rId328" Type="http://schemas.openxmlformats.org/officeDocument/2006/relationships/hyperlink" Target="https://drive.google.com/uc?id=1igngLxr74_o9J4ani_GvhiP9A9At1I1o" TargetMode="External"/><Relationship Id="rId449" Type="http://schemas.openxmlformats.org/officeDocument/2006/relationships/hyperlink" Target="https://res.cloudinary.com/a1irmvxv/image/upload/f_auto,q_auto/ChatGPT_Image_Jun_24_2026_02_26_06_PM_x1isth" TargetMode="External"/><Relationship Id="rId440" Type="http://schemas.openxmlformats.org/officeDocument/2006/relationships/hyperlink" Target="https://drive.google.com/uc?id=1NRvjxDX2LhO3xNZ0hjI8GO1EZ7zab9e3" TargetMode="External"/><Relationship Id="rId202" Type="http://schemas.openxmlformats.org/officeDocument/2006/relationships/hyperlink" Target="https://drive.google.com/uc?id=1ja_8e3BZxKBD7sPb60KdqBUfC1V1auHr" TargetMode="External"/><Relationship Id="rId323" Type="http://schemas.openxmlformats.org/officeDocument/2006/relationships/hyperlink" Target="https://tempfile.redpandaai.co/kieai/11402406/athena-refs/style_ref.jpg" TargetMode="External"/><Relationship Id="rId444" Type="http://schemas.openxmlformats.org/officeDocument/2006/relationships/hyperlink" Target="https://drive.google.com/uc?id=1Y-Zfp8zgHghSaoO-na96xDCyEzWJCcR_" TargetMode="External"/><Relationship Id="rId201" Type="http://schemas.openxmlformats.org/officeDocument/2006/relationships/hyperlink" Target="https://tempfile.aiquickdraw.com/images/chatgpt/file_000000002d0471f5a131107d4cc61944.png" TargetMode="External"/><Relationship Id="rId322" Type="http://schemas.openxmlformats.org/officeDocument/2006/relationships/hyperlink" Target="https://res.cloudinary.com/a1irmvxv/image/upload/f_auto,q_auto/ChatGPT_Image_Jun_24_2026_02_27_36_PM_avlrpn" TargetMode="External"/><Relationship Id="rId443" Type="http://schemas.openxmlformats.org/officeDocument/2006/relationships/hyperlink" Target="https://tempfile.aiquickdraw.com/images/chatgpt/file_00000000893c820c81caaa214d59471f.png" TargetMode="External"/><Relationship Id="rId200" Type="http://schemas.openxmlformats.org/officeDocument/2006/relationships/hyperlink" Target="https://tempfile.redpandaai.co/kieai/11402406/athena-refs/style_ref.jpg" TargetMode="External"/><Relationship Id="rId321" Type="http://schemas.openxmlformats.org/officeDocument/2006/relationships/hyperlink" Target="https://tempfile.aiquickdraw.com/images/chatgpt/file_0000000081c4822fb6c160f98d2b5342.png" TargetMode="External"/><Relationship Id="rId442" Type="http://schemas.openxmlformats.org/officeDocument/2006/relationships/hyperlink" Target="https://tempfile.redpandaai.co/kieai/11402406/athena-refs/style_ref.jpg" TargetMode="External"/><Relationship Id="rId320" Type="http://schemas.openxmlformats.org/officeDocument/2006/relationships/hyperlink" Target="https://tempfile.redpandaai.co/kieai/11402406/athena-refs/style_ref.jpg" TargetMode="External"/><Relationship Id="rId441" Type="http://schemas.openxmlformats.org/officeDocument/2006/relationships/hyperlink" Target="https://res.cloudinary.com/a1irmvxv/image/upload/f_auto,q_auto/ChatGPT_Image_Jun_24_2026_02_26_06_PM_x1isth" TargetMode="External"/><Relationship Id="rId316" Type="http://schemas.openxmlformats.org/officeDocument/2006/relationships/hyperlink" Target="https://tempfile.redpandaai.co/kieai/11402406/athena-refs/style_ref.jpg" TargetMode="External"/><Relationship Id="rId437" Type="http://schemas.openxmlformats.org/officeDocument/2006/relationships/hyperlink" Target="https://tempfile.aiquickdraw.com/images/chatgpt/file_000000008f1081f69357a044f5ae22fe.png" TargetMode="External"/><Relationship Id="rId315" Type="http://schemas.openxmlformats.org/officeDocument/2006/relationships/hyperlink" Target="https://res.cloudinary.com/a1irmvxv/image/upload/f_auto,q_auto/hf_20260630_002349_744b79a7-84f6-4760-9bb8-95a9d0e040e3_1_jnwc44" TargetMode="External"/><Relationship Id="rId436" Type="http://schemas.openxmlformats.org/officeDocument/2006/relationships/hyperlink" Target="https://tempfile.redpandaai.co/kieai/11402406/athena-refs/style_ref.jpg" TargetMode="External"/><Relationship Id="rId314" Type="http://schemas.openxmlformats.org/officeDocument/2006/relationships/hyperlink" Target="https://drive.google.com/uc?id=1EEk3i_vFxVBh4K3o9mQaSifTREtg-_Q0" TargetMode="External"/><Relationship Id="rId435" Type="http://schemas.openxmlformats.org/officeDocument/2006/relationships/hyperlink" Target="https://res.cloudinary.com/a1irmvxv/image/upload/f_auto,q_auto/ChatGPT_Image_Jun_24_2026_02_26_06_PM_x1isth" TargetMode="External"/><Relationship Id="rId313" Type="http://schemas.openxmlformats.org/officeDocument/2006/relationships/hyperlink" Target="https://tempfile.aiquickdraw.com/images/chatgpt/file_00000000afbc822fba8a35563055fbdf.png" TargetMode="External"/><Relationship Id="rId434" Type="http://schemas.openxmlformats.org/officeDocument/2006/relationships/hyperlink" Target="https://drive.google.com/uc?id=15GUbr9ZcqtLSxHs1NxuXsILJC4XoJNFo" TargetMode="External"/><Relationship Id="rId319" Type="http://schemas.openxmlformats.org/officeDocument/2006/relationships/hyperlink" Target="https://res.cloudinary.com/a1irmvxv/image/upload/f_auto,q_auto/ChatGPT_Image_Jun_24_2026_02_27_36_PM_avlrpn" TargetMode="External"/><Relationship Id="rId318" Type="http://schemas.openxmlformats.org/officeDocument/2006/relationships/hyperlink" Target="https://drive.google.com/uc?id=1cXRrWIW3f_aqWilUq-NliteaplrJcI1R" TargetMode="External"/><Relationship Id="rId439" Type="http://schemas.openxmlformats.org/officeDocument/2006/relationships/hyperlink" Target="https://tempfile.redpandaai.co/kieai/11402406/athena-refs/style_ref.jpg" TargetMode="External"/><Relationship Id="rId317" Type="http://schemas.openxmlformats.org/officeDocument/2006/relationships/hyperlink" Target="https://tempfile.aiquickdraw.com/images/chatgpt/file_000000006e40820c9367c00e91eda787.png" TargetMode="External"/><Relationship Id="rId438" Type="http://schemas.openxmlformats.org/officeDocument/2006/relationships/hyperlink" Target="https://res.cloudinary.com/a1irmvxv/image/upload/f_auto,q_auto/ChatGPT_Image_Jun_24_2026_02_26_06_PM_x1isth" TargetMode="External"/><Relationship Id="rId312" Type="http://schemas.openxmlformats.org/officeDocument/2006/relationships/hyperlink" Target="https://tempfile.redpandaai.co/kieai/11402406/athena-refs/style_ref.jpg" TargetMode="External"/><Relationship Id="rId433" Type="http://schemas.openxmlformats.org/officeDocument/2006/relationships/hyperlink" Target="https://tempfile.aiquickdraw.com/images/chatgpt/file_00000000dc5c820c9bcdee0a8c5a6b7c.png" TargetMode="External"/><Relationship Id="rId311" Type="http://schemas.openxmlformats.org/officeDocument/2006/relationships/hyperlink" Target="https://res.cloudinary.com/a1irmvxv/image/upload/f_auto,q_auto/hf_20260630_002349_744b79a7-84f6-4760-9bb8-95a9d0e040e3_1_jnwc44" TargetMode="External"/><Relationship Id="rId432" Type="http://schemas.openxmlformats.org/officeDocument/2006/relationships/hyperlink" Target="https://tempfile.redpandaai.co/kieai/11402406/athena-refs/style_ref.jpg" TargetMode="External"/><Relationship Id="rId310" Type="http://schemas.openxmlformats.org/officeDocument/2006/relationships/hyperlink" Target="https://drive.google.com/uc?id=1d_vwteGKCQxsBB4OfGpwdFM38TeDlKAA" TargetMode="External"/><Relationship Id="rId431" Type="http://schemas.openxmlformats.org/officeDocument/2006/relationships/hyperlink" Target="https://res.cloudinary.com/a1irmvxv/image/upload/f_auto,q_auto/ChatGPT_Image_Jun_24_2026_02_26_06_PM_x1isth" TargetMode="External"/><Relationship Id="rId430" Type="http://schemas.openxmlformats.org/officeDocument/2006/relationships/hyperlink" Target="https://drive.google.com/uc?id=1OPZbITCsVvQvO5Nukyv4cyi1kZUd1Yr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2" t="s">
        <v>7</v>
      </c>
      <c r="D2" s="2" t="s">
        <v>7</v>
      </c>
      <c r="E2" s="1" t="s">
        <v>8</v>
      </c>
    </row>
    <row r="3">
      <c r="A3" s="1" t="s">
        <v>9</v>
      </c>
      <c r="B3" s="1" t="s">
        <v>10</v>
      </c>
      <c r="C3" s="2" t="s">
        <v>11</v>
      </c>
      <c r="D3" s="2" t="s">
        <v>11</v>
      </c>
      <c r="E3" s="1" t="s">
        <v>12</v>
      </c>
    </row>
    <row r="4">
      <c r="A4" s="1" t="s">
        <v>13</v>
      </c>
      <c r="B4" s="1" t="s">
        <v>14</v>
      </c>
      <c r="C4" s="2" t="s">
        <v>15</v>
      </c>
      <c r="D4" s="2" t="s">
        <v>15</v>
      </c>
      <c r="E4" s="1" t="s">
        <v>16</v>
      </c>
    </row>
    <row r="5">
      <c r="A5" s="1" t="s">
        <v>17</v>
      </c>
      <c r="B5" s="1" t="s">
        <v>18</v>
      </c>
      <c r="C5" s="2" t="s">
        <v>19</v>
      </c>
      <c r="D5" s="2" t="s">
        <v>19</v>
      </c>
      <c r="E5" s="1" t="s">
        <v>20</v>
      </c>
    </row>
    <row r="6">
      <c r="A6" s="1" t="s">
        <v>21</v>
      </c>
      <c r="B6" s="1" t="s">
        <v>22</v>
      </c>
      <c r="C6" s="2" t="s">
        <v>23</v>
      </c>
      <c r="D6" s="2" t="s">
        <v>23</v>
      </c>
      <c r="E6" s="1" t="s">
        <v>24</v>
      </c>
    </row>
  </sheetData>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25</v>
      </c>
      <c r="B1" s="1" t="s">
        <v>0</v>
      </c>
      <c r="C1" s="1" t="s">
        <v>26</v>
      </c>
      <c r="D1" s="1" t="s">
        <v>27</v>
      </c>
      <c r="E1" s="1" t="s">
        <v>28</v>
      </c>
      <c r="F1" s="1" t="s">
        <v>29</v>
      </c>
      <c r="G1" s="1" t="s">
        <v>30</v>
      </c>
      <c r="H1" s="1" t="s">
        <v>31</v>
      </c>
      <c r="I1" s="1" t="s">
        <v>32</v>
      </c>
      <c r="J1" s="1" t="s">
        <v>33</v>
      </c>
      <c r="K1" s="1" t="s">
        <v>3</v>
      </c>
      <c r="L1" s="1" t="s">
        <v>34</v>
      </c>
      <c r="M1" s="1" t="s">
        <v>35</v>
      </c>
      <c r="N1" s="1" t="s">
        <v>36</v>
      </c>
      <c r="O1" s="1" t="s">
        <v>37</v>
      </c>
      <c r="P1" s="1" t="s">
        <v>38</v>
      </c>
      <c r="Q1" s="1" t="s">
        <v>39</v>
      </c>
      <c r="R1" s="1" t="s">
        <v>40</v>
      </c>
      <c r="S1" s="1" t="s">
        <v>41</v>
      </c>
      <c r="T1" s="1" t="s">
        <v>42</v>
      </c>
      <c r="U1" s="1" t="s">
        <v>43</v>
      </c>
      <c r="V1" s="1" t="s">
        <v>44</v>
      </c>
      <c r="W1" s="1" t="s">
        <v>1</v>
      </c>
      <c r="X1" s="1" t="s">
        <v>45</v>
      </c>
    </row>
    <row r="2">
      <c r="B2" s="1" t="s">
        <v>5</v>
      </c>
      <c r="C2" s="1" t="s">
        <v>46</v>
      </c>
      <c r="D2" s="1" t="s">
        <v>47</v>
      </c>
      <c r="E2" s="1" t="s">
        <v>48</v>
      </c>
      <c r="F2" s="1" t="b">
        <v>1</v>
      </c>
      <c r="G2" s="1" t="s">
        <v>49</v>
      </c>
      <c r="H2" s="1" t="s">
        <v>50</v>
      </c>
    </row>
    <row r="3">
      <c r="B3" s="1" t="s">
        <v>5</v>
      </c>
      <c r="C3" s="1" t="s">
        <v>51</v>
      </c>
      <c r="D3" s="1" t="s">
        <v>52</v>
      </c>
      <c r="E3" s="1" t="s">
        <v>53</v>
      </c>
      <c r="F3" s="1" t="b">
        <v>0</v>
      </c>
      <c r="G3" s="1" t="s">
        <v>54</v>
      </c>
      <c r="H3" s="1" t="s">
        <v>55</v>
      </c>
    </row>
    <row r="4">
      <c r="B4" s="1" t="s">
        <v>5</v>
      </c>
      <c r="C4" s="1" t="s">
        <v>56</v>
      </c>
      <c r="D4" s="1" t="s">
        <v>57</v>
      </c>
      <c r="E4" s="1" t="s">
        <v>58</v>
      </c>
      <c r="F4" s="1" t="b">
        <v>0</v>
      </c>
      <c r="G4" s="1" t="s">
        <v>54</v>
      </c>
      <c r="H4" s="1" t="s">
        <v>59</v>
      </c>
    </row>
    <row r="5">
      <c r="B5" s="1" t="s">
        <v>21</v>
      </c>
      <c r="C5" s="1" t="s">
        <v>60</v>
      </c>
      <c r="D5" s="1" t="s">
        <v>61</v>
      </c>
      <c r="E5" s="1" t="s">
        <v>62</v>
      </c>
      <c r="F5" s="1" t="b">
        <v>1</v>
      </c>
      <c r="G5" s="1" t="s">
        <v>49</v>
      </c>
      <c r="H5" s="1" t="s">
        <v>63</v>
      </c>
    </row>
    <row r="6">
      <c r="B6" s="1" t="s">
        <v>21</v>
      </c>
      <c r="C6" s="1" t="s">
        <v>64</v>
      </c>
      <c r="D6" s="1" t="s">
        <v>65</v>
      </c>
      <c r="E6" s="1" t="s">
        <v>66</v>
      </c>
      <c r="F6" s="1" t="b">
        <v>1</v>
      </c>
      <c r="G6" s="1" t="s">
        <v>49</v>
      </c>
      <c r="H6" s="1" t="s">
        <v>67</v>
      </c>
    </row>
    <row r="7">
      <c r="B7" s="1" t="s">
        <v>17</v>
      </c>
      <c r="C7" s="1" t="s">
        <v>68</v>
      </c>
      <c r="D7" s="1" t="s">
        <v>69</v>
      </c>
      <c r="E7" s="1" t="s">
        <v>70</v>
      </c>
      <c r="F7" s="3" t="b">
        <v>0</v>
      </c>
      <c r="G7" s="1" t="s">
        <v>54</v>
      </c>
      <c r="H7" s="1" t="s">
        <v>71</v>
      </c>
    </row>
    <row r="8">
      <c r="B8" s="1" t="s">
        <v>17</v>
      </c>
      <c r="C8" s="1" t="s">
        <v>72</v>
      </c>
      <c r="D8" s="1" t="s">
        <v>73</v>
      </c>
      <c r="E8" s="1" t="s">
        <v>74</v>
      </c>
      <c r="F8" s="3" t="b">
        <v>0</v>
      </c>
      <c r="G8" s="1" t="s">
        <v>54</v>
      </c>
      <c r="H8" s="1" t="s">
        <v>75</v>
      </c>
    </row>
    <row r="9">
      <c r="B9" s="1" t="s">
        <v>17</v>
      </c>
      <c r="C9" s="1" t="s">
        <v>76</v>
      </c>
      <c r="D9" s="1" t="s">
        <v>77</v>
      </c>
      <c r="E9" s="1" t="s">
        <v>78</v>
      </c>
      <c r="F9" s="3" t="b">
        <v>0</v>
      </c>
      <c r="G9" s="1" t="s">
        <v>54</v>
      </c>
      <c r="H9" s="1" t="s">
        <v>79</v>
      </c>
    </row>
    <row r="10">
      <c r="A10" s="1" t="s">
        <v>80</v>
      </c>
      <c r="B10" s="1" t="s">
        <v>13</v>
      </c>
      <c r="C10" s="1" t="s">
        <v>81</v>
      </c>
      <c r="D10" s="1" t="s">
        <v>82</v>
      </c>
      <c r="E10" s="1" t="s">
        <v>83</v>
      </c>
      <c r="F10" s="1" t="b">
        <v>1</v>
      </c>
      <c r="G10" s="1" t="s">
        <v>49</v>
      </c>
      <c r="H10" s="1" t="s">
        <v>84</v>
      </c>
      <c r="I10" s="1" t="s">
        <v>85</v>
      </c>
      <c r="J10" s="1" t="s">
        <v>82</v>
      </c>
      <c r="K10" s="2" t="s">
        <v>15</v>
      </c>
      <c r="L10" s="2" t="s">
        <v>86</v>
      </c>
      <c r="M10" s="1" t="s">
        <v>87</v>
      </c>
      <c r="N10" s="1" t="s">
        <v>88</v>
      </c>
      <c r="O10" s="3">
        <v>2.0</v>
      </c>
      <c r="P10" s="1" t="s">
        <v>89</v>
      </c>
      <c r="Q10" s="2" t="s">
        <v>90</v>
      </c>
      <c r="R10" s="1" t="s">
        <v>91</v>
      </c>
      <c r="S10" s="1" t="s">
        <v>92</v>
      </c>
      <c r="T10" s="2" t="s">
        <v>93</v>
      </c>
      <c r="U10" s="4" t="str">
        <f>IMAGE("https://drive.google.com/uc?id=1986uKB8ne4rTP2ET6PU4GClKqpOv7qZ4")</f>
        <v/>
      </c>
      <c r="V10" s="1" t="s">
        <v>94</v>
      </c>
    </row>
    <row r="11">
      <c r="A11" s="1" t="s">
        <v>95</v>
      </c>
      <c r="B11" s="1" t="s">
        <v>13</v>
      </c>
      <c r="C11" s="1" t="s">
        <v>96</v>
      </c>
      <c r="D11" s="1" t="s">
        <v>97</v>
      </c>
      <c r="E11" s="1" t="s">
        <v>98</v>
      </c>
      <c r="F11" s="3" t="b">
        <v>0</v>
      </c>
      <c r="G11" s="1" t="s">
        <v>54</v>
      </c>
      <c r="H11" s="1" t="s">
        <v>99</v>
      </c>
    </row>
    <row r="12">
      <c r="A12" s="1" t="s">
        <v>100</v>
      </c>
      <c r="B12" s="1" t="s">
        <v>13</v>
      </c>
      <c r="C12" s="1" t="s">
        <v>101</v>
      </c>
      <c r="D12" s="1" t="s">
        <v>102</v>
      </c>
      <c r="E12" s="5" t="s">
        <v>103</v>
      </c>
      <c r="F12" s="3" t="b">
        <v>0</v>
      </c>
      <c r="G12" s="1" t="s">
        <v>54</v>
      </c>
      <c r="H12" s="1" t="s">
        <v>104</v>
      </c>
    </row>
    <row r="13">
      <c r="F13" s="4" t="b">
        <v>0</v>
      </c>
    </row>
    <row r="14">
      <c r="F14" s="4" t="b">
        <v>0</v>
      </c>
    </row>
    <row r="15">
      <c r="F15" s="4" t="b">
        <v>0</v>
      </c>
    </row>
    <row r="16">
      <c r="F16" s="4" t="b">
        <v>0</v>
      </c>
    </row>
    <row r="17">
      <c r="F17" s="4" t="b">
        <v>0</v>
      </c>
    </row>
    <row r="18">
      <c r="F18" s="4" t="b">
        <v>0</v>
      </c>
    </row>
    <row r="19">
      <c r="C19" s="1" t="s">
        <v>105</v>
      </c>
      <c r="F19" s="4" t="b">
        <v>0</v>
      </c>
    </row>
    <row r="20">
      <c r="A20" s="1" t="s">
        <v>106</v>
      </c>
      <c r="B20" s="1" t="s">
        <v>21</v>
      </c>
      <c r="C20" s="1" t="s">
        <v>107</v>
      </c>
      <c r="E20" s="1" t="s">
        <v>108</v>
      </c>
      <c r="F20" s="1" t="b">
        <v>1</v>
      </c>
      <c r="G20" s="1" t="s">
        <v>49</v>
      </c>
      <c r="H20" s="1" t="s">
        <v>109</v>
      </c>
      <c r="I20" s="1" t="s">
        <v>85</v>
      </c>
      <c r="J20" s="1" t="s">
        <v>107</v>
      </c>
      <c r="K20" s="2" t="s">
        <v>23</v>
      </c>
      <c r="L20" s="2" t="s">
        <v>86</v>
      </c>
      <c r="M20" s="1" t="s">
        <v>110</v>
      </c>
      <c r="N20" s="1" t="s">
        <v>111</v>
      </c>
      <c r="O20" s="3">
        <v>8.0</v>
      </c>
      <c r="P20" s="1" t="s">
        <v>89</v>
      </c>
      <c r="Q20" s="2" t="s">
        <v>112</v>
      </c>
      <c r="R20" s="1" t="s">
        <v>91</v>
      </c>
      <c r="S20" s="1" t="s">
        <v>113</v>
      </c>
      <c r="T20" s="2" t="s">
        <v>114</v>
      </c>
      <c r="U20" s="4" t="str">
        <f>IMAGE("https://drive.google.com/uc?id=1axzQogpet0OO1ucMNmyY927qLN5VCkrA")</f>
        <v/>
      </c>
      <c r="V20" s="1" t="s">
        <v>94</v>
      </c>
      <c r="W20" s="1" t="s">
        <v>22</v>
      </c>
      <c r="X20" s="1" t="s">
        <v>115</v>
      </c>
    </row>
    <row r="21">
      <c r="A21" s="1" t="s">
        <v>116</v>
      </c>
      <c r="B21" s="1" t="s">
        <v>21</v>
      </c>
      <c r="C21" s="1" t="s">
        <v>117</v>
      </c>
      <c r="E21" s="1" t="s">
        <v>118</v>
      </c>
      <c r="F21" s="1" t="b">
        <v>1</v>
      </c>
      <c r="G21" s="1" t="s">
        <v>49</v>
      </c>
      <c r="H21" s="1" t="s">
        <v>119</v>
      </c>
      <c r="I21" s="1" t="s">
        <v>85</v>
      </c>
      <c r="J21" s="1" t="s">
        <v>117</v>
      </c>
      <c r="K21" s="2" t="s">
        <v>23</v>
      </c>
      <c r="L21" s="2" t="s">
        <v>86</v>
      </c>
      <c r="M21" s="1" t="s">
        <v>120</v>
      </c>
      <c r="N21" s="1" t="s">
        <v>121</v>
      </c>
      <c r="O21" s="3">
        <v>3.0</v>
      </c>
      <c r="P21" s="1" t="s">
        <v>89</v>
      </c>
      <c r="Q21" s="2" t="s">
        <v>122</v>
      </c>
      <c r="R21" s="1" t="s">
        <v>91</v>
      </c>
      <c r="S21" s="1" t="s">
        <v>123</v>
      </c>
      <c r="T21" s="2" t="s">
        <v>124</v>
      </c>
      <c r="U21" s="4" t="str">
        <f>IMAGE("https://drive.google.com/uc?id=1WC_fkf5LoF-1-3s6sPB48LVswkwD1OEl")</f>
        <v/>
      </c>
      <c r="V21" s="1" t="s">
        <v>94</v>
      </c>
      <c r="W21" s="1" t="s">
        <v>22</v>
      </c>
      <c r="X21" s="1" t="s">
        <v>125</v>
      </c>
    </row>
    <row r="22">
      <c r="A22" s="1" t="s">
        <v>126</v>
      </c>
      <c r="B22" s="1" t="s">
        <v>21</v>
      </c>
      <c r="C22" s="1" t="s">
        <v>127</v>
      </c>
      <c r="E22" s="1" t="s">
        <v>128</v>
      </c>
      <c r="F22" s="1" t="b">
        <v>1</v>
      </c>
      <c r="G22" s="1" t="s">
        <v>49</v>
      </c>
      <c r="H22" s="1" t="s">
        <v>129</v>
      </c>
      <c r="T22" s="2" t="s">
        <v>130</v>
      </c>
      <c r="U22" s="4" t="str">
        <f>IMAGE("https://drive.google.com/uc?id=1RoYL0-FdR0okT1CV-_ZE3797vGqHqETV")</f>
        <v/>
      </c>
    </row>
    <row r="23">
      <c r="A23" s="1" t="s">
        <v>131</v>
      </c>
      <c r="B23" s="1" t="s">
        <v>21</v>
      </c>
      <c r="C23" s="1" t="s">
        <v>132</v>
      </c>
      <c r="E23" s="1" t="s">
        <v>133</v>
      </c>
      <c r="F23" s="1" t="b">
        <v>1</v>
      </c>
      <c r="G23" s="1" t="s">
        <v>49</v>
      </c>
      <c r="H23" s="1" t="s">
        <v>134</v>
      </c>
      <c r="I23" s="1" t="s">
        <v>85</v>
      </c>
      <c r="J23" s="1" t="s">
        <v>132</v>
      </c>
      <c r="K23" s="2" t="s">
        <v>23</v>
      </c>
      <c r="L23" s="2" t="s">
        <v>86</v>
      </c>
      <c r="M23" s="1" t="s">
        <v>135</v>
      </c>
      <c r="N23" s="1" t="s">
        <v>136</v>
      </c>
      <c r="O23" s="3">
        <v>6.0</v>
      </c>
      <c r="P23" s="1" t="s">
        <v>89</v>
      </c>
      <c r="Q23" s="2" t="s">
        <v>137</v>
      </c>
      <c r="R23" s="1" t="s">
        <v>91</v>
      </c>
      <c r="S23" s="1" t="s">
        <v>138</v>
      </c>
      <c r="T23" s="2" t="s">
        <v>139</v>
      </c>
      <c r="U23" s="4" t="str">
        <f>IMAGE("https://drive.google.com/uc?id=1J2kf8Cb7CEpYXJoH3BS_7VnM5zVRPdq_")</f>
        <v/>
      </c>
      <c r="V23" s="1" t="s">
        <v>94</v>
      </c>
      <c r="W23" s="1" t="s">
        <v>22</v>
      </c>
      <c r="X23" s="1" t="s">
        <v>140</v>
      </c>
    </row>
    <row r="24">
      <c r="A24" s="1" t="s">
        <v>141</v>
      </c>
      <c r="B24" s="1" t="s">
        <v>21</v>
      </c>
      <c r="C24" s="1" t="s">
        <v>142</v>
      </c>
      <c r="E24" s="1" t="s">
        <v>143</v>
      </c>
      <c r="F24" s="1" t="b">
        <v>1</v>
      </c>
      <c r="G24" s="1" t="s">
        <v>49</v>
      </c>
      <c r="H24" s="1" t="s">
        <v>54</v>
      </c>
      <c r="I24" s="1" t="s">
        <v>85</v>
      </c>
      <c r="J24" s="1" t="s">
        <v>142</v>
      </c>
      <c r="K24" s="2" t="s">
        <v>23</v>
      </c>
      <c r="L24" s="2" t="s">
        <v>86</v>
      </c>
      <c r="M24" s="1" t="s">
        <v>144</v>
      </c>
      <c r="N24" s="1" t="s">
        <v>145</v>
      </c>
      <c r="O24" s="3">
        <v>5.0</v>
      </c>
      <c r="P24" s="1" t="s">
        <v>89</v>
      </c>
      <c r="Q24" s="2" t="s">
        <v>146</v>
      </c>
      <c r="R24" s="1" t="s">
        <v>91</v>
      </c>
      <c r="S24" s="1" t="s">
        <v>147</v>
      </c>
      <c r="T24" s="2" t="s">
        <v>148</v>
      </c>
      <c r="U24" s="4" t="str">
        <f>IMAGE("https://drive.google.com/uc?id=1Y6NRtGDmtQIUpTCDgqU5pd78VkCFNVZ0")</f>
        <v/>
      </c>
      <c r="V24" s="1" t="s">
        <v>94</v>
      </c>
      <c r="W24" s="1" t="s">
        <v>22</v>
      </c>
      <c r="X24" s="1" t="s">
        <v>149</v>
      </c>
    </row>
    <row r="25">
      <c r="A25" s="1" t="s">
        <v>150</v>
      </c>
      <c r="B25" s="1" t="s">
        <v>21</v>
      </c>
      <c r="C25" s="1" t="s">
        <v>151</v>
      </c>
      <c r="E25" s="1" t="s">
        <v>152</v>
      </c>
      <c r="F25" s="1" t="b">
        <v>1</v>
      </c>
      <c r="G25" s="1" t="s">
        <v>49</v>
      </c>
      <c r="H25" s="1" t="s">
        <v>153</v>
      </c>
      <c r="I25" s="1" t="s">
        <v>85</v>
      </c>
      <c r="J25" s="1" t="s">
        <v>151</v>
      </c>
      <c r="K25" s="2" t="s">
        <v>23</v>
      </c>
      <c r="L25" s="2" t="s">
        <v>86</v>
      </c>
      <c r="M25" s="1" t="s">
        <v>154</v>
      </c>
      <c r="N25" s="1" t="s">
        <v>155</v>
      </c>
      <c r="O25" s="3">
        <v>4.0</v>
      </c>
      <c r="P25" s="1" t="s">
        <v>89</v>
      </c>
      <c r="Q25" s="2" t="s">
        <v>156</v>
      </c>
      <c r="R25" s="1" t="s">
        <v>91</v>
      </c>
      <c r="S25" s="1" t="s">
        <v>157</v>
      </c>
      <c r="T25" s="2" t="s">
        <v>158</v>
      </c>
      <c r="U25" s="4" t="str">
        <f>IMAGE("https://drive.google.com/uc?id=1A5L4Yt5tpuT0AXDZXbMQwDaAyOuV3qaQ")</f>
        <v/>
      </c>
      <c r="V25" s="1" t="s">
        <v>94</v>
      </c>
      <c r="W25" s="1" t="s">
        <v>22</v>
      </c>
      <c r="X25" s="1" t="s">
        <v>159</v>
      </c>
    </row>
    <row r="26">
      <c r="A26" s="1" t="s">
        <v>160</v>
      </c>
      <c r="B26" s="1" t="s">
        <v>21</v>
      </c>
      <c r="C26" s="1" t="s">
        <v>161</v>
      </c>
      <c r="E26" s="1" t="s">
        <v>162</v>
      </c>
      <c r="F26" s="1" t="b">
        <v>1</v>
      </c>
      <c r="G26" s="1" t="s">
        <v>49</v>
      </c>
      <c r="H26" s="1" t="s">
        <v>163</v>
      </c>
      <c r="I26" s="1" t="s">
        <v>85</v>
      </c>
      <c r="J26" s="1" t="s">
        <v>161</v>
      </c>
      <c r="K26" s="2" t="s">
        <v>23</v>
      </c>
      <c r="L26" s="2" t="s">
        <v>86</v>
      </c>
      <c r="M26" s="1" t="s">
        <v>164</v>
      </c>
      <c r="N26" s="1" t="s">
        <v>165</v>
      </c>
      <c r="O26" s="3">
        <v>6.0</v>
      </c>
      <c r="P26" s="1" t="s">
        <v>89</v>
      </c>
      <c r="Q26" s="2" t="s">
        <v>166</v>
      </c>
      <c r="R26" s="1" t="s">
        <v>91</v>
      </c>
      <c r="S26" s="1" t="s">
        <v>167</v>
      </c>
      <c r="T26" s="2" t="s">
        <v>168</v>
      </c>
      <c r="U26" s="4" t="str">
        <f>IMAGE("https://drive.google.com/uc?id=109gBhPKLZ7CUpSPuki-t71akx5xBVhjw")</f>
        <v/>
      </c>
      <c r="V26" s="1" t="s">
        <v>94</v>
      </c>
      <c r="W26" s="1" t="s">
        <v>22</v>
      </c>
      <c r="X26" s="1" t="s">
        <v>169</v>
      </c>
    </row>
    <row r="27">
      <c r="A27" s="1" t="s">
        <v>170</v>
      </c>
      <c r="B27" s="1" t="s">
        <v>21</v>
      </c>
      <c r="C27" s="1" t="s">
        <v>171</v>
      </c>
      <c r="E27" s="1" t="s">
        <v>172</v>
      </c>
      <c r="F27" s="1" t="b">
        <v>1</v>
      </c>
      <c r="G27" s="1" t="s">
        <v>49</v>
      </c>
      <c r="H27" s="1" t="s">
        <v>173</v>
      </c>
      <c r="I27" s="1" t="s">
        <v>85</v>
      </c>
      <c r="J27" s="1" t="s">
        <v>171</v>
      </c>
      <c r="K27" s="2" t="s">
        <v>23</v>
      </c>
      <c r="L27" s="2" t="s">
        <v>86</v>
      </c>
      <c r="M27" s="1" t="s">
        <v>174</v>
      </c>
      <c r="N27" s="1" t="s">
        <v>175</v>
      </c>
      <c r="O27" s="3">
        <v>3.0</v>
      </c>
      <c r="P27" s="1" t="s">
        <v>89</v>
      </c>
      <c r="Q27" s="2" t="s">
        <v>176</v>
      </c>
      <c r="R27" s="1" t="s">
        <v>91</v>
      </c>
      <c r="S27" s="1" t="s">
        <v>177</v>
      </c>
      <c r="T27" s="2" t="s">
        <v>178</v>
      </c>
      <c r="U27" s="4" t="str">
        <f>IMAGE("https://drive.google.com/uc?id=1qpnNFRdxDT-5fzEqloOO-FK9a0GhxtA1")</f>
        <v/>
      </c>
      <c r="V27" s="1" t="s">
        <v>94</v>
      </c>
      <c r="W27" s="1" t="s">
        <v>22</v>
      </c>
      <c r="X27" s="1" t="s">
        <v>179</v>
      </c>
    </row>
    <row r="28">
      <c r="A28" s="1" t="s">
        <v>180</v>
      </c>
      <c r="B28" s="1" t="s">
        <v>21</v>
      </c>
      <c r="C28" s="1" t="s">
        <v>181</v>
      </c>
      <c r="E28" s="1" t="s">
        <v>182</v>
      </c>
      <c r="F28" s="1" t="b">
        <v>1</v>
      </c>
      <c r="G28" s="1" t="s">
        <v>49</v>
      </c>
      <c r="H28" s="1" t="s">
        <v>183</v>
      </c>
      <c r="I28" s="1" t="s">
        <v>85</v>
      </c>
      <c r="J28" s="1" t="s">
        <v>181</v>
      </c>
      <c r="K28" s="2" t="s">
        <v>23</v>
      </c>
      <c r="L28" s="2" t="s">
        <v>86</v>
      </c>
      <c r="M28" s="1" t="s">
        <v>184</v>
      </c>
      <c r="N28" s="1" t="s">
        <v>185</v>
      </c>
      <c r="O28" s="3">
        <v>3.0</v>
      </c>
      <c r="P28" s="1" t="s">
        <v>89</v>
      </c>
      <c r="Q28" s="2" t="s">
        <v>186</v>
      </c>
      <c r="R28" s="1" t="s">
        <v>91</v>
      </c>
      <c r="S28" s="1" t="s">
        <v>187</v>
      </c>
      <c r="T28" s="2" t="s">
        <v>188</v>
      </c>
      <c r="U28" s="4" t="str">
        <f>IMAGE("https://drive.google.com/uc?id=11orFzPxTHpyaaZZczJJRK1hAtQt7cb8x")</f>
        <v/>
      </c>
      <c r="V28" s="1" t="s">
        <v>94</v>
      </c>
      <c r="W28" s="1" t="s">
        <v>22</v>
      </c>
      <c r="X28" s="1" t="s">
        <v>189</v>
      </c>
    </row>
    <row r="29">
      <c r="A29" s="1" t="s">
        <v>190</v>
      </c>
      <c r="B29" s="1" t="s">
        <v>21</v>
      </c>
      <c r="C29" s="1" t="s">
        <v>191</v>
      </c>
      <c r="E29" s="1" t="s">
        <v>192</v>
      </c>
      <c r="F29" s="1" t="b">
        <v>1</v>
      </c>
      <c r="G29" s="1" t="s">
        <v>49</v>
      </c>
      <c r="H29" s="1" t="s">
        <v>193</v>
      </c>
      <c r="I29" s="1" t="s">
        <v>85</v>
      </c>
      <c r="J29" s="1" t="s">
        <v>191</v>
      </c>
      <c r="K29" s="2" t="s">
        <v>23</v>
      </c>
      <c r="L29" s="2" t="s">
        <v>86</v>
      </c>
      <c r="M29" s="1" t="s">
        <v>194</v>
      </c>
      <c r="N29" s="1" t="s">
        <v>195</v>
      </c>
      <c r="O29" s="3">
        <v>3.0</v>
      </c>
      <c r="P29" s="1" t="s">
        <v>89</v>
      </c>
      <c r="Q29" s="2" t="s">
        <v>196</v>
      </c>
      <c r="R29" s="1" t="s">
        <v>91</v>
      </c>
      <c r="S29" s="1" t="s">
        <v>197</v>
      </c>
      <c r="T29" s="2" t="s">
        <v>198</v>
      </c>
      <c r="U29" s="4" t="str">
        <f>IMAGE("https://drive.google.com/uc?id=1a-iX9Gd78mBH4NRLoUtncFTcj0Ts8eIB")</f>
        <v/>
      </c>
      <c r="V29" s="1" t="s">
        <v>94</v>
      </c>
      <c r="W29" s="1" t="s">
        <v>22</v>
      </c>
      <c r="X29" s="1" t="s">
        <v>199</v>
      </c>
    </row>
    <row r="30">
      <c r="A30" s="1" t="s">
        <v>200</v>
      </c>
      <c r="B30" s="1" t="s">
        <v>21</v>
      </c>
      <c r="C30" s="1" t="s">
        <v>201</v>
      </c>
      <c r="E30" s="1" t="s">
        <v>202</v>
      </c>
      <c r="F30" s="1" t="b">
        <v>1</v>
      </c>
      <c r="G30" s="1" t="s">
        <v>49</v>
      </c>
      <c r="H30" s="1" t="s">
        <v>203</v>
      </c>
      <c r="I30" s="1" t="s">
        <v>85</v>
      </c>
      <c r="J30" s="1" t="s">
        <v>201</v>
      </c>
      <c r="K30" s="2" t="s">
        <v>23</v>
      </c>
      <c r="L30" s="2" t="s">
        <v>86</v>
      </c>
      <c r="M30" s="1" t="s">
        <v>204</v>
      </c>
      <c r="N30" s="1" t="s">
        <v>205</v>
      </c>
      <c r="O30" s="3">
        <v>3.0</v>
      </c>
      <c r="P30" s="1" t="s">
        <v>89</v>
      </c>
      <c r="Q30" s="2" t="s">
        <v>206</v>
      </c>
      <c r="R30" s="1" t="s">
        <v>91</v>
      </c>
      <c r="S30" s="1" t="s">
        <v>207</v>
      </c>
      <c r="T30" s="2" t="s">
        <v>208</v>
      </c>
      <c r="U30" s="4" t="str">
        <f>IMAGE("https://drive.google.com/uc?id=17fXMbj_BmjDf6pIYhRaHoZJt5mA2nmC1")</f>
        <v/>
      </c>
      <c r="V30" s="1" t="s">
        <v>94</v>
      </c>
      <c r="W30" s="1" t="s">
        <v>22</v>
      </c>
      <c r="X30" s="1" t="s">
        <v>209</v>
      </c>
    </row>
    <row r="31">
      <c r="A31" s="1" t="s">
        <v>210</v>
      </c>
      <c r="B31" s="1" t="s">
        <v>21</v>
      </c>
      <c r="C31" s="1" t="s">
        <v>211</v>
      </c>
      <c r="E31" s="1" t="s">
        <v>212</v>
      </c>
      <c r="F31" s="1" t="b">
        <v>1</v>
      </c>
      <c r="G31" s="1" t="s">
        <v>49</v>
      </c>
      <c r="H31" s="1" t="s">
        <v>213</v>
      </c>
      <c r="I31" s="1" t="s">
        <v>85</v>
      </c>
      <c r="J31" s="1" t="s">
        <v>211</v>
      </c>
      <c r="K31" s="2" t="s">
        <v>23</v>
      </c>
      <c r="L31" s="2" t="s">
        <v>86</v>
      </c>
      <c r="M31" s="1" t="s">
        <v>214</v>
      </c>
      <c r="N31" s="1" t="s">
        <v>215</v>
      </c>
      <c r="O31" s="3">
        <v>6.0</v>
      </c>
      <c r="P31" s="1" t="s">
        <v>89</v>
      </c>
      <c r="Q31" s="2" t="s">
        <v>216</v>
      </c>
      <c r="R31" s="1" t="s">
        <v>91</v>
      </c>
      <c r="S31" s="1" t="s">
        <v>217</v>
      </c>
      <c r="T31" s="2" t="s">
        <v>218</v>
      </c>
      <c r="U31" s="4" t="str">
        <f>IMAGE("https://drive.google.com/uc?id=1LPgH6UL8bQf9gNrRe7uOfOdMCj2WTCX0")</f>
        <v/>
      </c>
      <c r="V31" s="1" t="s">
        <v>94</v>
      </c>
      <c r="W31" s="1" t="s">
        <v>22</v>
      </c>
      <c r="X31" s="1" t="s">
        <v>219</v>
      </c>
    </row>
    <row r="32">
      <c r="A32" s="1" t="s">
        <v>220</v>
      </c>
      <c r="B32" s="1" t="s">
        <v>21</v>
      </c>
      <c r="C32" s="1" t="s">
        <v>221</v>
      </c>
      <c r="E32" s="1" t="s">
        <v>222</v>
      </c>
      <c r="F32" s="1" t="b">
        <v>1</v>
      </c>
      <c r="G32" s="1" t="s">
        <v>49</v>
      </c>
      <c r="H32" s="1" t="s">
        <v>223</v>
      </c>
      <c r="I32" s="1" t="s">
        <v>85</v>
      </c>
      <c r="J32" s="1" t="s">
        <v>221</v>
      </c>
      <c r="K32" s="2" t="s">
        <v>23</v>
      </c>
      <c r="L32" s="2" t="s">
        <v>86</v>
      </c>
      <c r="M32" s="1" t="s">
        <v>224</v>
      </c>
      <c r="N32" s="1" t="s">
        <v>225</v>
      </c>
      <c r="O32" s="3">
        <v>3.0</v>
      </c>
      <c r="P32" s="1" t="s">
        <v>89</v>
      </c>
      <c r="Q32" s="2" t="s">
        <v>226</v>
      </c>
      <c r="R32" s="1" t="s">
        <v>91</v>
      </c>
      <c r="S32" s="1" t="s">
        <v>227</v>
      </c>
      <c r="T32" s="2" t="s">
        <v>228</v>
      </c>
      <c r="U32" s="4" t="str">
        <f>IMAGE("https://drive.google.com/uc?id=1M9asYKpO46bvcdqPMJjAgSp8LVbeRykh")</f>
        <v/>
      </c>
      <c r="V32" s="1" t="s">
        <v>94</v>
      </c>
      <c r="W32" s="1" t="s">
        <v>22</v>
      </c>
      <c r="X32" s="1" t="s">
        <v>229</v>
      </c>
    </row>
    <row r="33">
      <c r="A33" s="1" t="s">
        <v>230</v>
      </c>
      <c r="B33" s="1" t="s">
        <v>5</v>
      </c>
      <c r="C33" s="1" t="s">
        <v>231</v>
      </c>
      <c r="E33" s="1" t="s">
        <v>232</v>
      </c>
      <c r="F33" s="1" t="b">
        <v>1</v>
      </c>
      <c r="G33" s="1" t="s">
        <v>49</v>
      </c>
      <c r="H33" s="1" t="s">
        <v>233</v>
      </c>
      <c r="I33" s="1" t="s">
        <v>85</v>
      </c>
      <c r="J33" s="1" t="s">
        <v>231</v>
      </c>
      <c r="K33" s="2" t="s">
        <v>7</v>
      </c>
      <c r="L33" s="2" t="s">
        <v>86</v>
      </c>
      <c r="M33" s="1" t="s">
        <v>234</v>
      </c>
      <c r="N33" s="1" t="s">
        <v>235</v>
      </c>
      <c r="O33" s="3">
        <v>4.0</v>
      </c>
      <c r="P33" s="1" t="s">
        <v>89</v>
      </c>
      <c r="Q33" s="2" t="s">
        <v>236</v>
      </c>
      <c r="R33" s="1" t="s">
        <v>91</v>
      </c>
      <c r="S33" s="1" t="s">
        <v>237</v>
      </c>
      <c r="T33" s="2" t="s">
        <v>238</v>
      </c>
      <c r="U33" s="4" t="str">
        <f>IMAGE("https://drive.google.com/uc?id=1cTMMIm-Rd2r5NIGmlo1_3tLtWFUcG9Hz")</f>
        <v/>
      </c>
      <c r="V33" s="1" t="s">
        <v>94</v>
      </c>
      <c r="W33" s="1" t="s">
        <v>6</v>
      </c>
      <c r="X33" s="1" t="s">
        <v>239</v>
      </c>
    </row>
    <row r="34">
      <c r="A34" s="1" t="s">
        <v>240</v>
      </c>
      <c r="B34" s="1" t="s">
        <v>5</v>
      </c>
      <c r="C34" s="1" t="s">
        <v>241</v>
      </c>
      <c r="E34" s="1" t="s">
        <v>242</v>
      </c>
      <c r="F34" s="1" t="b">
        <v>1</v>
      </c>
      <c r="G34" s="1" t="s">
        <v>49</v>
      </c>
      <c r="H34" s="1" t="s">
        <v>243</v>
      </c>
      <c r="I34" s="1" t="s">
        <v>85</v>
      </c>
      <c r="J34" s="1" t="s">
        <v>241</v>
      </c>
      <c r="K34" s="2" t="s">
        <v>7</v>
      </c>
      <c r="L34" s="2" t="s">
        <v>86</v>
      </c>
      <c r="M34" s="1" t="s">
        <v>244</v>
      </c>
      <c r="N34" s="1" t="s">
        <v>245</v>
      </c>
      <c r="O34" s="3">
        <v>19.0</v>
      </c>
      <c r="P34" s="1" t="s">
        <v>89</v>
      </c>
      <c r="Q34" s="2" t="s">
        <v>246</v>
      </c>
      <c r="R34" s="1" t="s">
        <v>91</v>
      </c>
      <c r="S34" s="1" t="s">
        <v>247</v>
      </c>
      <c r="T34" s="2" t="s">
        <v>248</v>
      </c>
      <c r="U34" s="4" t="str">
        <f>IMAGE("https://drive.google.com/uc?id=1z1r-BppxMKEg-MMC-JJspDJqEMlVZYCv")</f>
        <v/>
      </c>
      <c r="V34" s="1" t="s">
        <v>94</v>
      </c>
      <c r="W34" s="1" t="s">
        <v>6</v>
      </c>
      <c r="X34" s="1" t="s">
        <v>249</v>
      </c>
    </row>
    <row r="35">
      <c r="A35" s="1" t="s">
        <v>250</v>
      </c>
      <c r="B35" s="1" t="s">
        <v>5</v>
      </c>
      <c r="C35" s="1" t="s">
        <v>251</v>
      </c>
      <c r="E35" s="1" t="s">
        <v>252</v>
      </c>
      <c r="F35" s="1" t="b">
        <v>1</v>
      </c>
      <c r="G35" s="1" t="s">
        <v>49</v>
      </c>
      <c r="H35" s="1" t="s">
        <v>253</v>
      </c>
      <c r="I35" s="1" t="s">
        <v>85</v>
      </c>
      <c r="J35" s="1" t="s">
        <v>251</v>
      </c>
      <c r="K35" s="2" t="s">
        <v>7</v>
      </c>
      <c r="L35" s="2" t="s">
        <v>86</v>
      </c>
      <c r="M35" s="1" t="s">
        <v>254</v>
      </c>
      <c r="N35" s="1" t="s">
        <v>255</v>
      </c>
      <c r="O35" s="3">
        <v>3.0</v>
      </c>
      <c r="P35" s="1" t="s">
        <v>89</v>
      </c>
      <c r="Q35" s="2" t="s">
        <v>256</v>
      </c>
      <c r="R35" s="1" t="s">
        <v>91</v>
      </c>
      <c r="S35" s="1" t="s">
        <v>257</v>
      </c>
      <c r="T35" s="2" t="s">
        <v>258</v>
      </c>
      <c r="U35" s="4" t="str">
        <f>IMAGE("https://drive.google.com/uc?id=1fCjDFQs9v0baMrly6Ck4CbGOLNnmfkUr")</f>
        <v/>
      </c>
      <c r="V35" s="1" t="s">
        <v>94</v>
      </c>
      <c r="W35" s="1" t="s">
        <v>6</v>
      </c>
      <c r="X35" s="1" t="s">
        <v>259</v>
      </c>
    </row>
    <row r="36">
      <c r="A36" s="1" t="s">
        <v>260</v>
      </c>
      <c r="B36" s="1" t="s">
        <v>5</v>
      </c>
      <c r="C36" s="1" t="s">
        <v>261</v>
      </c>
      <c r="E36" s="1" t="s">
        <v>262</v>
      </c>
      <c r="F36" s="1" t="b">
        <v>1</v>
      </c>
      <c r="G36" s="1" t="s">
        <v>49</v>
      </c>
      <c r="H36" s="1" t="s">
        <v>263</v>
      </c>
      <c r="I36" s="1" t="s">
        <v>85</v>
      </c>
      <c r="J36" s="1" t="s">
        <v>261</v>
      </c>
      <c r="K36" s="2" t="s">
        <v>7</v>
      </c>
      <c r="L36" s="2" t="s">
        <v>86</v>
      </c>
      <c r="M36" s="1" t="s">
        <v>264</v>
      </c>
      <c r="N36" s="1" t="s">
        <v>265</v>
      </c>
      <c r="O36" s="3">
        <v>7.0</v>
      </c>
      <c r="P36" s="1" t="s">
        <v>89</v>
      </c>
      <c r="Q36" s="2" t="s">
        <v>266</v>
      </c>
      <c r="R36" s="1" t="s">
        <v>91</v>
      </c>
      <c r="S36" s="1" t="s">
        <v>267</v>
      </c>
      <c r="T36" s="2" t="s">
        <v>268</v>
      </c>
      <c r="U36" s="4" t="str">
        <f>IMAGE("https://drive.google.com/uc?id=1dOWX1f_hzv31hPIJSsKaTMTd44pmr8rc")</f>
        <v/>
      </c>
      <c r="V36" s="1" t="s">
        <v>94</v>
      </c>
      <c r="W36" s="1" t="s">
        <v>6</v>
      </c>
      <c r="X36" s="1" t="s">
        <v>269</v>
      </c>
    </row>
    <row r="37">
      <c r="A37" s="1" t="s">
        <v>270</v>
      </c>
      <c r="B37" s="1" t="s">
        <v>5</v>
      </c>
      <c r="C37" s="1" t="s">
        <v>271</v>
      </c>
      <c r="E37" s="1" t="s">
        <v>272</v>
      </c>
      <c r="F37" s="1" t="b">
        <v>1</v>
      </c>
      <c r="G37" s="1" t="s">
        <v>49</v>
      </c>
      <c r="H37" s="1" t="s">
        <v>273</v>
      </c>
      <c r="I37" s="1" t="s">
        <v>85</v>
      </c>
      <c r="J37" s="1" t="s">
        <v>271</v>
      </c>
      <c r="K37" s="2" t="s">
        <v>7</v>
      </c>
      <c r="L37" s="2" t="s">
        <v>86</v>
      </c>
      <c r="M37" s="1" t="s">
        <v>274</v>
      </c>
      <c r="N37" s="1" t="s">
        <v>275</v>
      </c>
      <c r="O37" s="3">
        <v>4.0</v>
      </c>
      <c r="P37" s="1" t="s">
        <v>89</v>
      </c>
      <c r="Q37" s="2" t="s">
        <v>276</v>
      </c>
      <c r="R37" s="1" t="s">
        <v>91</v>
      </c>
      <c r="S37" s="1" t="s">
        <v>277</v>
      </c>
      <c r="T37" s="2" t="s">
        <v>278</v>
      </c>
      <c r="U37" s="4" t="str">
        <f>IMAGE("https://drive.google.com/uc?id=1CQym4nGzVI4Ln7VDzRRsvfZWoe42KM3f")</f>
        <v/>
      </c>
      <c r="V37" s="1" t="s">
        <v>94</v>
      </c>
      <c r="W37" s="1" t="s">
        <v>6</v>
      </c>
      <c r="X37" s="1" t="s">
        <v>279</v>
      </c>
    </row>
    <row r="38">
      <c r="A38" s="1" t="s">
        <v>280</v>
      </c>
      <c r="B38" s="1" t="s">
        <v>5</v>
      </c>
      <c r="C38" s="1" t="s">
        <v>281</v>
      </c>
      <c r="E38" s="1" t="s">
        <v>282</v>
      </c>
      <c r="F38" s="1" t="b">
        <v>1</v>
      </c>
      <c r="G38" s="1" t="s">
        <v>49</v>
      </c>
      <c r="H38" s="1" t="s">
        <v>283</v>
      </c>
      <c r="I38" s="1" t="s">
        <v>85</v>
      </c>
      <c r="J38" s="1" t="s">
        <v>281</v>
      </c>
      <c r="K38" s="2" t="s">
        <v>7</v>
      </c>
      <c r="L38" s="2" t="s">
        <v>86</v>
      </c>
      <c r="M38" s="1" t="s">
        <v>284</v>
      </c>
      <c r="N38" s="1" t="s">
        <v>285</v>
      </c>
      <c r="O38" s="3">
        <v>3.0</v>
      </c>
      <c r="P38" s="1" t="s">
        <v>89</v>
      </c>
      <c r="Q38" s="2" t="s">
        <v>286</v>
      </c>
      <c r="R38" s="1" t="s">
        <v>91</v>
      </c>
      <c r="S38" s="1" t="s">
        <v>287</v>
      </c>
      <c r="T38" s="2" t="s">
        <v>288</v>
      </c>
      <c r="U38" s="4" t="str">
        <f>IMAGE("https://drive.google.com/uc?id=1EgZXIi16Sv4Fsy2P1_pU6AHL6abBtQku")</f>
        <v/>
      </c>
      <c r="V38" s="1" t="s">
        <v>94</v>
      </c>
      <c r="W38" s="1" t="s">
        <v>6</v>
      </c>
      <c r="X38" s="1" t="s">
        <v>289</v>
      </c>
    </row>
    <row r="39">
      <c r="A39" s="1" t="s">
        <v>290</v>
      </c>
      <c r="B39" s="1" t="s">
        <v>5</v>
      </c>
      <c r="C39" s="1" t="s">
        <v>291</v>
      </c>
      <c r="E39" s="1" t="s">
        <v>292</v>
      </c>
      <c r="F39" s="1" t="b">
        <v>1</v>
      </c>
      <c r="G39" s="1" t="s">
        <v>49</v>
      </c>
      <c r="H39" s="1" t="s">
        <v>293</v>
      </c>
      <c r="I39" s="1" t="s">
        <v>85</v>
      </c>
      <c r="J39" s="1" t="s">
        <v>291</v>
      </c>
      <c r="K39" s="2" t="s">
        <v>7</v>
      </c>
      <c r="L39" s="2" t="s">
        <v>86</v>
      </c>
      <c r="M39" s="1" t="s">
        <v>294</v>
      </c>
      <c r="N39" s="1" t="s">
        <v>295</v>
      </c>
      <c r="O39" s="3">
        <v>3.0</v>
      </c>
      <c r="P39" s="1" t="s">
        <v>89</v>
      </c>
      <c r="Q39" s="2" t="s">
        <v>296</v>
      </c>
      <c r="R39" s="1" t="s">
        <v>91</v>
      </c>
      <c r="S39" s="1" t="s">
        <v>297</v>
      </c>
      <c r="T39" s="2" t="s">
        <v>298</v>
      </c>
      <c r="U39" s="4" t="str">
        <f>IMAGE("https://drive.google.com/uc?id=1KGIdPh3dKlnuumvkcGkB4NdrN3-Ycf3k")</f>
        <v/>
      </c>
      <c r="V39" s="1" t="s">
        <v>94</v>
      </c>
      <c r="W39" s="1" t="s">
        <v>6</v>
      </c>
      <c r="X39" s="1" t="s">
        <v>299</v>
      </c>
    </row>
    <row r="40">
      <c r="A40" s="1" t="s">
        <v>300</v>
      </c>
      <c r="B40" s="1" t="s">
        <v>5</v>
      </c>
      <c r="C40" s="1" t="s">
        <v>301</v>
      </c>
      <c r="E40" s="1" t="s">
        <v>302</v>
      </c>
      <c r="F40" s="1" t="b">
        <v>1</v>
      </c>
      <c r="G40" s="1" t="s">
        <v>49</v>
      </c>
      <c r="H40" s="1" t="s">
        <v>303</v>
      </c>
      <c r="I40" s="1" t="s">
        <v>85</v>
      </c>
      <c r="J40" s="1" t="s">
        <v>301</v>
      </c>
      <c r="K40" s="2" t="s">
        <v>7</v>
      </c>
      <c r="L40" s="2" t="s">
        <v>86</v>
      </c>
      <c r="M40" s="1" t="s">
        <v>304</v>
      </c>
      <c r="N40" s="1" t="s">
        <v>305</v>
      </c>
      <c r="O40" s="3">
        <v>3.0</v>
      </c>
      <c r="P40" s="1" t="s">
        <v>89</v>
      </c>
      <c r="Q40" s="2" t="s">
        <v>306</v>
      </c>
      <c r="R40" s="1" t="s">
        <v>91</v>
      </c>
      <c r="S40" s="1" t="s">
        <v>307</v>
      </c>
      <c r="T40" s="2" t="s">
        <v>308</v>
      </c>
      <c r="U40" s="4" t="str">
        <f>IMAGE("https://drive.google.com/uc?id=1ytQiJJXh4295OKriw7M2JDmescijXyUY")</f>
        <v/>
      </c>
      <c r="V40" s="1" t="s">
        <v>94</v>
      </c>
      <c r="W40" s="1" t="s">
        <v>6</v>
      </c>
      <c r="X40" s="1" t="s">
        <v>309</v>
      </c>
    </row>
    <row r="41">
      <c r="A41" s="1" t="s">
        <v>260</v>
      </c>
      <c r="B41" s="1" t="s">
        <v>5</v>
      </c>
      <c r="C41" s="1" t="s">
        <v>261</v>
      </c>
      <c r="E41" s="1" t="s">
        <v>262</v>
      </c>
      <c r="F41" s="1" t="b">
        <v>1</v>
      </c>
      <c r="G41" s="1" t="s">
        <v>49</v>
      </c>
      <c r="H41" s="1" t="s">
        <v>263</v>
      </c>
    </row>
    <row r="42">
      <c r="A42" s="1" t="s">
        <v>310</v>
      </c>
      <c r="B42" s="1" t="s">
        <v>17</v>
      </c>
      <c r="C42" s="1" t="s">
        <v>311</v>
      </c>
      <c r="E42" s="1" t="s">
        <v>312</v>
      </c>
      <c r="F42" s="1" t="b">
        <v>1</v>
      </c>
      <c r="G42" s="1" t="s">
        <v>49</v>
      </c>
      <c r="H42" s="1" t="s">
        <v>313</v>
      </c>
      <c r="I42" s="1" t="s">
        <v>85</v>
      </c>
      <c r="J42" s="1" t="s">
        <v>311</v>
      </c>
      <c r="K42" s="2" t="s">
        <v>19</v>
      </c>
      <c r="L42" s="2" t="s">
        <v>86</v>
      </c>
      <c r="M42" s="1" t="s">
        <v>314</v>
      </c>
      <c r="N42" s="1" t="s">
        <v>315</v>
      </c>
      <c r="O42" s="3">
        <v>3.0</v>
      </c>
      <c r="P42" s="1" t="s">
        <v>89</v>
      </c>
      <c r="Q42" s="2" t="s">
        <v>316</v>
      </c>
      <c r="R42" s="1" t="s">
        <v>91</v>
      </c>
      <c r="S42" s="1" t="s">
        <v>317</v>
      </c>
      <c r="T42" s="2" t="s">
        <v>318</v>
      </c>
      <c r="U42" s="4" t="str">
        <f>IMAGE("https://drive.google.com/uc?id=1Ur12ZOQunHUze7V2SnkQ_9n8vnX4bwcC")</f>
        <v/>
      </c>
      <c r="V42" s="1" t="s">
        <v>94</v>
      </c>
      <c r="W42" s="1" t="s">
        <v>18</v>
      </c>
      <c r="X42" s="1" t="s">
        <v>319</v>
      </c>
    </row>
    <row r="43">
      <c r="A43" s="1" t="s">
        <v>320</v>
      </c>
      <c r="B43" s="1" t="s">
        <v>17</v>
      </c>
      <c r="C43" s="1" t="s">
        <v>321</v>
      </c>
      <c r="E43" s="1" t="s">
        <v>322</v>
      </c>
      <c r="F43" s="1" t="b">
        <v>1</v>
      </c>
      <c r="G43" s="1" t="s">
        <v>49</v>
      </c>
      <c r="H43" s="1" t="s">
        <v>323</v>
      </c>
    </row>
    <row r="44">
      <c r="A44" s="1" t="s">
        <v>324</v>
      </c>
      <c r="B44" s="1" t="s">
        <v>17</v>
      </c>
      <c r="C44" s="1" t="s">
        <v>325</v>
      </c>
      <c r="E44" s="1" t="s">
        <v>326</v>
      </c>
      <c r="F44" s="1" t="b">
        <v>1</v>
      </c>
      <c r="G44" s="1" t="s">
        <v>49</v>
      </c>
      <c r="H44" s="1" t="s">
        <v>327</v>
      </c>
      <c r="I44" s="1" t="s">
        <v>85</v>
      </c>
      <c r="J44" s="1" t="s">
        <v>325</v>
      </c>
      <c r="K44" s="2" t="s">
        <v>19</v>
      </c>
      <c r="L44" s="2" t="s">
        <v>86</v>
      </c>
      <c r="M44" s="1" t="s">
        <v>328</v>
      </c>
      <c r="N44" s="1" t="s">
        <v>329</v>
      </c>
      <c r="O44" s="3">
        <v>3.0</v>
      </c>
      <c r="P44" s="1" t="s">
        <v>89</v>
      </c>
      <c r="Q44" s="2" t="s">
        <v>330</v>
      </c>
      <c r="R44" s="1" t="s">
        <v>91</v>
      </c>
      <c r="S44" s="1" t="s">
        <v>331</v>
      </c>
      <c r="T44" s="2" t="s">
        <v>332</v>
      </c>
      <c r="U44" s="4" t="str">
        <f>IMAGE("https://drive.google.com/uc?id=1ojBIubLRe57p05nJAOfdns2jpiD4VQ63")</f>
        <v/>
      </c>
      <c r="V44" s="1" t="s">
        <v>94</v>
      </c>
      <c r="W44" s="1" t="s">
        <v>18</v>
      </c>
      <c r="X44" s="1" t="s">
        <v>333</v>
      </c>
    </row>
    <row r="45">
      <c r="A45" s="1" t="s">
        <v>334</v>
      </c>
      <c r="B45" s="1" t="s">
        <v>17</v>
      </c>
      <c r="C45" s="1" t="s">
        <v>335</v>
      </c>
      <c r="E45" s="1" t="s">
        <v>336</v>
      </c>
      <c r="F45" s="1" t="b">
        <v>1</v>
      </c>
      <c r="G45" s="1" t="s">
        <v>49</v>
      </c>
      <c r="H45" s="1" t="s">
        <v>337</v>
      </c>
      <c r="I45" s="1" t="s">
        <v>85</v>
      </c>
      <c r="J45" s="1" t="s">
        <v>335</v>
      </c>
      <c r="K45" s="2" t="s">
        <v>19</v>
      </c>
      <c r="L45" s="2" t="s">
        <v>86</v>
      </c>
      <c r="M45" s="1" t="s">
        <v>338</v>
      </c>
      <c r="N45" s="1" t="s">
        <v>339</v>
      </c>
      <c r="O45" s="3">
        <v>4.0</v>
      </c>
      <c r="P45" s="1" t="s">
        <v>89</v>
      </c>
      <c r="Q45" s="2" t="s">
        <v>340</v>
      </c>
      <c r="R45" s="1" t="s">
        <v>91</v>
      </c>
      <c r="S45" s="1" t="s">
        <v>341</v>
      </c>
      <c r="T45" s="2" t="s">
        <v>342</v>
      </c>
      <c r="U45" s="4" t="str">
        <f>IMAGE("https://drive.google.com/uc?id=1DuNK1hvj6hiqW9cGaCR-G1wC_doeCnyV")</f>
        <v/>
      </c>
      <c r="V45" s="1" t="s">
        <v>94</v>
      </c>
      <c r="W45" s="1" t="s">
        <v>18</v>
      </c>
      <c r="X45" s="1" t="s">
        <v>343</v>
      </c>
    </row>
    <row r="46">
      <c r="A46" s="1" t="s">
        <v>344</v>
      </c>
      <c r="B46" s="1" t="s">
        <v>17</v>
      </c>
      <c r="C46" s="1" t="s">
        <v>345</v>
      </c>
      <c r="E46" s="1" t="s">
        <v>346</v>
      </c>
      <c r="F46" s="1" t="b">
        <v>1</v>
      </c>
      <c r="G46" s="1" t="s">
        <v>49</v>
      </c>
      <c r="H46" s="1" t="s">
        <v>347</v>
      </c>
      <c r="I46" s="1" t="s">
        <v>85</v>
      </c>
      <c r="J46" s="1" t="s">
        <v>345</v>
      </c>
      <c r="K46" s="2" t="s">
        <v>19</v>
      </c>
      <c r="L46" s="2" t="s">
        <v>86</v>
      </c>
      <c r="M46" s="1" t="s">
        <v>348</v>
      </c>
      <c r="N46" s="1" t="s">
        <v>349</v>
      </c>
      <c r="O46" s="3">
        <v>3.0</v>
      </c>
      <c r="P46" s="1" t="s">
        <v>89</v>
      </c>
      <c r="Q46" s="2" t="s">
        <v>350</v>
      </c>
      <c r="R46" s="1" t="s">
        <v>91</v>
      </c>
      <c r="S46" s="1" t="s">
        <v>351</v>
      </c>
      <c r="T46" s="2" t="s">
        <v>352</v>
      </c>
      <c r="U46" s="4" t="str">
        <f>IMAGE("https://drive.google.com/uc?id=1X0hT5NlDkBvTNS_WOStaX30kWNOWYP9D")</f>
        <v/>
      </c>
      <c r="V46" s="1" t="s">
        <v>94</v>
      </c>
      <c r="W46" s="1" t="s">
        <v>18</v>
      </c>
      <c r="X46" s="1" t="s">
        <v>353</v>
      </c>
    </row>
    <row r="47">
      <c r="A47" s="1" t="s">
        <v>354</v>
      </c>
      <c r="B47" s="1" t="s">
        <v>17</v>
      </c>
      <c r="C47" s="1" t="s">
        <v>355</v>
      </c>
      <c r="E47" s="1" t="s">
        <v>356</v>
      </c>
      <c r="F47" s="1" t="b">
        <v>1</v>
      </c>
      <c r="G47" s="1" t="s">
        <v>49</v>
      </c>
      <c r="H47" s="1" t="s">
        <v>357</v>
      </c>
      <c r="I47" s="1" t="s">
        <v>85</v>
      </c>
      <c r="J47" s="1" t="s">
        <v>355</v>
      </c>
      <c r="K47" s="2" t="s">
        <v>19</v>
      </c>
      <c r="L47" s="2" t="s">
        <v>86</v>
      </c>
      <c r="M47" s="1" t="s">
        <v>358</v>
      </c>
      <c r="N47" s="1" t="s">
        <v>359</v>
      </c>
      <c r="O47" s="3">
        <v>3.0</v>
      </c>
      <c r="P47" s="1" t="s">
        <v>89</v>
      </c>
      <c r="Q47" s="2" t="s">
        <v>360</v>
      </c>
      <c r="R47" s="1" t="s">
        <v>91</v>
      </c>
      <c r="S47" s="1" t="s">
        <v>361</v>
      </c>
      <c r="T47" s="2" t="s">
        <v>362</v>
      </c>
      <c r="U47" s="4" t="str">
        <f>IMAGE("https://drive.google.com/uc?id=1qoJNYYcQOcAyYXvqpK9g7vbYnKjREQzq")</f>
        <v/>
      </c>
      <c r="V47" s="1" t="s">
        <v>94</v>
      </c>
      <c r="W47" s="1" t="s">
        <v>18</v>
      </c>
      <c r="X47" s="1" t="s">
        <v>363</v>
      </c>
    </row>
    <row r="48">
      <c r="A48" s="1" t="s">
        <v>364</v>
      </c>
      <c r="B48" s="1" t="s">
        <v>17</v>
      </c>
      <c r="C48" s="1" t="s">
        <v>365</v>
      </c>
      <c r="E48" s="1" t="s">
        <v>366</v>
      </c>
      <c r="F48" s="1" t="b">
        <v>1</v>
      </c>
      <c r="G48" s="1" t="s">
        <v>49</v>
      </c>
      <c r="H48" s="1" t="s">
        <v>367</v>
      </c>
      <c r="I48" s="1" t="s">
        <v>85</v>
      </c>
      <c r="J48" s="1" t="s">
        <v>365</v>
      </c>
      <c r="K48" s="2" t="s">
        <v>19</v>
      </c>
      <c r="L48" s="2" t="s">
        <v>86</v>
      </c>
      <c r="M48" s="1" t="s">
        <v>368</v>
      </c>
      <c r="N48" s="1" t="s">
        <v>369</v>
      </c>
      <c r="O48" s="3">
        <v>3.0</v>
      </c>
      <c r="P48" s="1" t="s">
        <v>89</v>
      </c>
      <c r="Q48" s="2" t="s">
        <v>370</v>
      </c>
      <c r="R48" s="1" t="s">
        <v>91</v>
      </c>
      <c r="S48" s="1" t="s">
        <v>371</v>
      </c>
      <c r="T48" s="2" t="s">
        <v>372</v>
      </c>
      <c r="U48" s="4" t="str">
        <f>IMAGE("https://drive.google.com/uc?id=1bnLhXbz_5EBH3Kofl6YsdlRA72OaN229")</f>
        <v/>
      </c>
      <c r="V48" s="1" t="s">
        <v>94</v>
      </c>
      <c r="W48" s="1" t="s">
        <v>18</v>
      </c>
      <c r="X48" s="1" t="s">
        <v>373</v>
      </c>
    </row>
    <row r="49">
      <c r="A49" s="1" t="s">
        <v>374</v>
      </c>
      <c r="B49" s="1" t="s">
        <v>9</v>
      </c>
      <c r="C49" s="1" t="s">
        <v>375</v>
      </c>
      <c r="E49" s="1" t="s">
        <v>376</v>
      </c>
      <c r="F49" s="1" t="b">
        <v>1</v>
      </c>
      <c r="G49" s="1" t="s">
        <v>49</v>
      </c>
      <c r="H49" s="1" t="s">
        <v>377</v>
      </c>
      <c r="I49" s="1" t="s">
        <v>85</v>
      </c>
      <c r="J49" s="1" t="s">
        <v>375</v>
      </c>
      <c r="K49" s="2" t="s">
        <v>11</v>
      </c>
      <c r="L49" s="2" t="s">
        <v>86</v>
      </c>
      <c r="M49" s="1" t="s">
        <v>378</v>
      </c>
      <c r="N49" s="1" t="s">
        <v>379</v>
      </c>
      <c r="O49" s="3">
        <v>6.0</v>
      </c>
      <c r="P49" s="1" t="s">
        <v>89</v>
      </c>
      <c r="Q49" s="2" t="s">
        <v>380</v>
      </c>
      <c r="R49" s="1" t="s">
        <v>91</v>
      </c>
      <c r="S49" s="1" t="s">
        <v>381</v>
      </c>
      <c r="T49" s="2" t="s">
        <v>382</v>
      </c>
      <c r="U49" s="4" t="str">
        <f>IMAGE("https://drive.google.com/uc?id=13HQN30YfvsyUTQ6hkODY9IaMv2_k9T0j")</f>
        <v/>
      </c>
      <c r="V49" s="1" t="s">
        <v>94</v>
      </c>
      <c r="W49" s="1" t="s">
        <v>10</v>
      </c>
      <c r="X49" s="1" t="s">
        <v>383</v>
      </c>
    </row>
    <row r="50">
      <c r="A50" s="1" t="s">
        <v>384</v>
      </c>
      <c r="B50" s="1" t="s">
        <v>9</v>
      </c>
      <c r="C50" s="1" t="s">
        <v>385</v>
      </c>
      <c r="E50" s="1" t="s">
        <v>386</v>
      </c>
      <c r="F50" s="1" t="b">
        <v>1</v>
      </c>
      <c r="G50" s="1" t="s">
        <v>49</v>
      </c>
      <c r="H50" s="1" t="s">
        <v>387</v>
      </c>
      <c r="I50" s="1" t="s">
        <v>85</v>
      </c>
      <c r="J50" s="1" t="s">
        <v>385</v>
      </c>
      <c r="K50" s="2" t="s">
        <v>11</v>
      </c>
      <c r="L50" s="2" t="s">
        <v>86</v>
      </c>
      <c r="M50" s="1" t="s">
        <v>388</v>
      </c>
      <c r="N50" s="1" t="s">
        <v>389</v>
      </c>
      <c r="O50" s="3">
        <v>6.0</v>
      </c>
      <c r="P50" s="1" t="s">
        <v>89</v>
      </c>
      <c r="Q50" s="2" t="s">
        <v>390</v>
      </c>
      <c r="R50" s="1" t="s">
        <v>91</v>
      </c>
      <c r="S50" s="1" t="s">
        <v>391</v>
      </c>
      <c r="T50" s="2" t="s">
        <v>392</v>
      </c>
      <c r="U50" s="4" t="str">
        <f>IMAGE("https://drive.google.com/uc?id=1keo6_y6jTvWaHMW9FNIqpJdrccQLMDOy")</f>
        <v/>
      </c>
      <c r="V50" s="1" t="s">
        <v>94</v>
      </c>
      <c r="W50" s="1" t="s">
        <v>10</v>
      </c>
      <c r="X50" s="1" t="s">
        <v>393</v>
      </c>
    </row>
    <row r="51">
      <c r="A51" s="1" t="s">
        <v>394</v>
      </c>
      <c r="B51" s="1" t="s">
        <v>9</v>
      </c>
      <c r="C51" s="1" t="s">
        <v>395</v>
      </c>
      <c r="E51" s="1" t="s">
        <v>396</v>
      </c>
      <c r="F51" s="1" t="b">
        <v>1</v>
      </c>
      <c r="G51" s="1" t="s">
        <v>49</v>
      </c>
      <c r="H51" s="1" t="s">
        <v>397</v>
      </c>
      <c r="I51" s="1" t="s">
        <v>85</v>
      </c>
      <c r="J51" s="1" t="s">
        <v>395</v>
      </c>
      <c r="K51" s="2" t="s">
        <v>11</v>
      </c>
      <c r="L51" s="2" t="s">
        <v>86</v>
      </c>
      <c r="M51" s="1" t="s">
        <v>398</v>
      </c>
      <c r="N51" s="1" t="s">
        <v>399</v>
      </c>
      <c r="O51" s="3">
        <v>6.0</v>
      </c>
      <c r="P51" s="1" t="s">
        <v>89</v>
      </c>
      <c r="Q51" s="2" t="s">
        <v>400</v>
      </c>
      <c r="R51" s="1" t="s">
        <v>91</v>
      </c>
      <c r="S51" s="1" t="s">
        <v>401</v>
      </c>
      <c r="T51" s="2" t="s">
        <v>402</v>
      </c>
      <c r="U51" s="4" t="str">
        <f>IMAGE("https://drive.google.com/uc?id=1vbLKasCrw13RGFBdXU8_UrWazvq71aT-")</f>
        <v/>
      </c>
      <c r="V51" s="1" t="s">
        <v>94</v>
      </c>
      <c r="W51" s="1" t="s">
        <v>10</v>
      </c>
      <c r="X51" s="1" t="s">
        <v>403</v>
      </c>
    </row>
    <row r="52">
      <c r="A52" s="1" t="s">
        <v>404</v>
      </c>
      <c r="B52" s="1" t="s">
        <v>9</v>
      </c>
      <c r="C52" s="1" t="s">
        <v>405</v>
      </c>
      <c r="E52" s="1" t="s">
        <v>406</v>
      </c>
      <c r="F52" s="1" t="b">
        <v>1</v>
      </c>
      <c r="G52" s="1" t="s">
        <v>49</v>
      </c>
      <c r="H52" s="1" t="s">
        <v>407</v>
      </c>
      <c r="I52" s="1" t="s">
        <v>85</v>
      </c>
      <c r="J52" s="1" t="s">
        <v>405</v>
      </c>
      <c r="K52" s="2" t="s">
        <v>11</v>
      </c>
      <c r="L52" s="2" t="s">
        <v>86</v>
      </c>
      <c r="M52" s="1" t="s">
        <v>408</v>
      </c>
      <c r="N52" s="1" t="s">
        <v>409</v>
      </c>
      <c r="O52" s="3">
        <v>6.0</v>
      </c>
      <c r="P52" s="1" t="s">
        <v>89</v>
      </c>
      <c r="Q52" s="2" t="s">
        <v>410</v>
      </c>
      <c r="R52" s="1" t="s">
        <v>91</v>
      </c>
      <c r="S52" s="1" t="s">
        <v>411</v>
      </c>
      <c r="T52" s="2" t="s">
        <v>412</v>
      </c>
      <c r="U52" s="4" t="str">
        <f>IMAGE("https://drive.google.com/uc?id=1oJpskGqO0DDMVakAG9VavjIaRVe9CjbS")</f>
        <v/>
      </c>
      <c r="V52" s="1" t="s">
        <v>94</v>
      </c>
      <c r="W52" s="1" t="s">
        <v>10</v>
      </c>
      <c r="X52" s="1" t="s">
        <v>413</v>
      </c>
    </row>
    <row r="53">
      <c r="A53" s="1" t="s">
        <v>414</v>
      </c>
      <c r="B53" s="1" t="s">
        <v>9</v>
      </c>
      <c r="C53" s="1" t="s">
        <v>415</v>
      </c>
      <c r="E53" s="1" t="s">
        <v>416</v>
      </c>
      <c r="F53" s="1" t="b">
        <v>1</v>
      </c>
      <c r="G53" s="1" t="s">
        <v>49</v>
      </c>
      <c r="H53" s="1" t="s">
        <v>417</v>
      </c>
      <c r="I53" s="1" t="s">
        <v>85</v>
      </c>
      <c r="J53" s="1" t="s">
        <v>415</v>
      </c>
      <c r="K53" s="2" t="s">
        <v>11</v>
      </c>
      <c r="L53" s="2" t="s">
        <v>86</v>
      </c>
      <c r="M53" s="1" t="s">
        <v>418</v>
      </c>
      <c r="N53" s="1" t="s">
        <v>419</v>
      </c>
      <c r="O53" s="3">
        <v>6.0</v>
      </c>
      <c r="P53" s="1" t="s">
        <v>89</v>
      </c>
      <c r="Q53" s="2" t="s">
        <v>420</v>
      </c>
      <c r="R53" s="1" t="s">
        <v>91</v>
      </c>
      <c r="S53" s="1" t="s">
        <v>421</v>
      </c>
      <c r="T53" s="2" t="s">
        <v>422</v>
      </c>
      <c r="U53" s="4" t="str">
        <f>IMAGE("https://drive.google.com/uc?id=1IJVRtWx-6xfiYnJ_w0QKWG83u1bD5MJt")</f>
        <v/>
      </c>
      <c r="V53" s="1" t="s">
        <v>94</v>
      </c>
      <c r="W53" s="1" t="s">
        <v>10</v>
      </c>
      <c r="X53" s="1" t="s">
        <v>423</v>
      </c>
    </row>
    <row r="54">
      <c r="A54" s="1" t="s">
        <v>424</v>
      </c>
      <c r="B54" s="1" t="s">
        <v>9</v>
      </c>
      <c r="C54" s="1" t="s">
        <v>425</v>
      </c>
      <c r="E54" s="1" t="s">
        <v>426</v>
      </c>
      <c r="F54" s="1" t="b">
        <v>1</v>
      </c>
      <c r="G54" s="1" t="s">
        <v>49</v>
      </c>
      <c r="H54" s="1" t="s">
        <v>427</v>
      </c>
    </row>
    <row r="55">
      <c r="A55" s="1" t="s">
        <v>428</v>
      </c>
      <c r="B55" s="1" t="s">
        <v>9</v>
      </c>
      <c r="C55" s="1" t="s">
        <v>429</v>
      </c>
      <c r="E55" s="1" t="s">
        <v>430</v>
      </c>
      <c r="F55" s="1" t="b">
        <v>1</v>
      </c>
      <c r="G55" s="1" t="s">
        <v>49</v>
      </c>
      <c r="H55" s="1" t="s">
        <v>431</v>
      </c>
      <c r="I55" s="1" t="s">
        <v>85</v>
      </c>
      <c r="J55" s="1" t="s">
        <v>429</v>
      </c>
      <c r="K55" s="2" t="s">
        <v>11</v>
      </c>
      <c r="L55" s="2" t="s">
        <v>86</v>
      </c>
      <c r="M55" s="1" t="s">
        <v>432</v>
      </c>
      <c r="N55" s="1" t="s">
        <v>433</v>
      </c>
      <c r="O55" s="3">
        <v>10.0</v>
      </c>
      <c r="P55" s="1" t="s">
        <v>89</v>
      </c>
      <c r="Q55" s="2" t="s">
        <v>434</v>
      </c>
      <c r="R55" s="1" t="s">
        <v>91</v>
      </c>
      <c r="S55" s="1" t="s">
        <v>435</v>
      </c>
      <c r="T55" s="2" t="s">
        <v>436</v>
      </c>
      <c r="U55" s="4" t="str">
        <f>IMAGE("https://drive.google.com/uc?id=1Jycvva1aYHsnx_izGyT9dVMMByuNGXgL")</f>
        <v/>
      </c>
      <c r="V55" s="1" t="s">
        <v>94</v>
      </c>
      <c r="W55" s="1" t="s">
        <v>10</v>
      </c>
      <c r="X55" s="1" t="s">
        <v>437</v>
      </c>
    </row>
    <row r="56">
      <c r="A56" s="1" t="s">
        <v>438</v>
      </c>
      <c r="B56" s="1" t="s">
        <v>9</v>
      </c>
      <c r="C56" s="1" t="s">
        <v>439</v>
      </c>
      <c r="E56" s="1" t="s">
        <v>440</v>
      </c>
      <c r="F56" s="1" t="b">
        <v>1</v>
      </c>
      <c r="G56" s="1" t="s">
        <v>49</v>
      </c>
      <c r="H56" s="1" t="s">
        <v>441</v>
      </c>
      <c r="I56" s="1" t="s">
        <v>85</v>
      </c>
      <c r="J56" s="1" t="s">
        <v>439</v>
      </c>
      <c r="K56" s="2" t="s">
        <v>11</v>
      </c>
      <c r="L56" s="2" t="s">
        <v>86</v>
      </c>
      <c r="M56" s="1" t="s">
        <v>442</v>
      </c>
      <c r="N56" s="1" t="s">
        <v>443</v>
      </c>
      <c r="O56" s="3">
        <v>7.0</v>
      </c>
      <c r="P56" s="1" t="s">
        <v>89</v>
      </c>
      <c r="Q56" s="2" t="s">
        <v>444</v>
      </c>
      <c r="R56" s="1" t="s">
        <v>91</v>
      </c>
      <c r="S56" s="1" t="s">
        <v>445</v>
      </c>
      <c r="T56" s="2" t="s">
        <v>446</v>
      </c>
      <c r="U56" s="4" t="str">
        <f>IMAGE("https://drive.google.com/uc?id=1QiJEhOf9enIqkS_hTrwrHyYYb9pKjvMn")</f>
        <v/>
      </c>
      <c r="V56" s="1" t="s">
        <v>94</v>
      </c>
      <c r="W56" s="1" t="s">
        <v>10</v>
      </c>
      <c r="X56" s="1" t="s">
        <v>447</v>
      </c>
    </row>
    <row r="57">
      <c r="A57" s="1" t="s">
        <v>448</v>
      </c>
      <c r="B57" s="1" t="s">
        <v>9</v>
      </c>
      <c r="C57" s="1" t="s">
        <v>449</v>
      </c>
      <c r="E57" s="1" t="s">
        <v>450</v>
      </c>
      <c r="F57" s="1" t="b">
        <v>1</v>
      </c>
      <c r="G57" s="1" t="s">
        <v>49</v>
      </c>
      <c r="H57" s="1" t="s">
        <v>451</v>
      </c>
      <c r="I57" s="1" t="s">
        <v>85</v>
      </c>
      <c r="J57" s="1" t="s">
        <v>449</v>
      </c>
      <c r="K57" s="2" t="s">
        <v>11</v>
      </c>
      <c r="L57" s="2" t="s">
        <v>86</v>
      </c>
      <c r="M57" s="1" t="s">
        <v>452</v>
      </c>
      <c r="N57" s="1" t="s">
        <v>453</v>
      </c>
      <c r="O57" s="3">
        <v>6.0</v>
      </c>
      <c r="P57" s="1" t="s">
        <v>89</v>
      </c>
      <c r="Q57" s="2" t="s">
        <v>454</v>
      </c>
      <c r="R57" s="1" t="s">
        <v>91</v>
      </c>
      <c r="S57" s="1" t="s">
        <v>455</v>
      </c>
      <c r="T57" s="2" t="s">
        <v>456</v>
      </c>
      <c r="U57" s="4" t="str">
        <f>IMAGE("https://drive.google.com/uc?id=1mmVHL39nlC9hpSEr08S_Vbpkr72sZWk-")</f>
        <v/>
      </c>
      <c r="V57" s="1" t="s">
        <v>94</v>
      </c>
      <c r="W57" s="1" t="s">
        <v>10</v>
      </c>
      <c r="X57" s="1" t="s">
        <v>457</v>
      </c>
    </row>
    <row r="58">
      <c r="A58" s="1" t="s">
        <v>458</v>
      </c>
      <c r="B58" s="1" t="s">
        <v>9</v>
      </c>
      <c r="C58" s="1" t="s">
        <v>459</v>
      </c>
      <c r="E58" s="1" t="s">
        <v>460</v>
      </c>
      <c r="F58" s="1" t="b">
        <v>1</v>
      </c>
      <c r="G58" s="1" t="s">
        <v>49</v>
      </c>
      <c r="H58" s="1" t="s">
        <v>461</v>
      </c>
      <c r="I58" s="1" t="s">
        <v>85</v>
      </c>
      <c r="J58" s="1" t="s">
        <v>459</v>
      </c>
      <c r="K58" s="2" t="s">
        <v>11</v>
      </c>
      <c r="L58" s="2" t="s">
        <v>86</v>
      </c>
      <c r="M58" s="1" t="s">
        <v>462</v>
      </c>
      <c r="N58" s="1" t="s">
        <v>463</v>
      </c>
      <c r="O58" s="3">
        <v>6.0</v>
      </c>
      <c r="P58" s="1" t="s">
        <v>89</v>
      </c>
      <c r="Q58" s="2" t="s">
        <v>464</v>
      </c>
      <c r="R58" s="1" t="s">
        <v>91</v>
      </c>
      <c r="S58" s="1" t="s">
        <v>465</v>
      </c>
      <c r="T58" s="2" t="s">
        <v>466</v>
      </c>
      <c r="U58" s="4" t="str">
        <f>IMAGE("https://drive.google.com/uc?id=1KUyyOrkyt_0DzEbuAQkx0ClsO-dYSkT4")</f>
        <v/>
      </c>
      <c r="V58" s="1" t="s">
        <v>94</v>
      </c>
      <c r="W58" s="1" t="s">
        <v>10</v>
      </c>
      <c r="X58" s="1" t="s">
        <v>467</v>
      </c>
    </row>
    <row r="59">
      <c r="A59" s="1" t="s">
        <v>468</v>
      </c>
      <c r="B59" s="1" t="s">
        <v>13</v>
      </c>
      <c r="C59" s="1" t="s">
        <v>469</v>
      </c>
      <c r="E59" s="1" t="s">
        <v>470</v>
      </c>
      <c r="F59" s="1" t="b">
        <v>1</v>
      </c>
      <c r="G59" s="1" t="s">
        <v>49</v>
      </c>
      <c r="H59" s="1" t="s">
        <v>471</v>
      </c>
      <c r="I59" s="1" t="s">
        <v>85</v>
      </c>
      <c r="J59" s="1" t="s">
        <v>469</v>
      </c>
      <c r="K59" s="2" t="s">
        <v>15</v>
      </c>
      <c r="L59" s="2" t="s">
        <v>86</v>
      </c>
      <c r="M59" s="1" t="s">
        <v>472</v>
      </c>
      <c r="N59" s="1" t="s">
        <v>473</v>
      </c>
      <c r="O59" s="3">
        <v>2.0</v>
      </c>
      <c r="P59" s="1" t="s">
        <v>89</v>
      </c>
      <c r="Q59" s="2" t="s">
        <v>474</v>
      </c>
      <c r="R59" s="1" t="s">
        <v>91</v>
      </c>
      <c r="S59" s="1" t="s">
        <v>475</v>
      </c>
      <c r="T59" s="2" t="s">
        <v>476</v>
      </c>
      <c r="U59" s="4" t="str">
        <f>IMAGE("https://drive.google.com/uc?id=1XnT9V3Ckr05wgIYPv6ptQsA7GUJfzaXr")</f>
        <v/>
      </c>
      <c r="V59" s="1" t="s">
        <v>94</v>
      </c>
      <c r="W59" s="1" t="s">
        <v>477</v>
      </c>
      <c r="X59" s="1" t="s">
        <v>478</v>
      </c>
    </row>
    <row r="60">
      <c r="A60" s="1" t="s">
        <v>479</v>
      </c>
      <c r="B60" s="1" t="s">
        <v>13</v>
      </c>
      <c r="C60" s="1" t="s">
        <v>480</v>
      </c>
      <c r="E60" s="1" t="s">
        <v>481</v>
      </c>
      <c r="F60" s="1" t="b">
        <v>1</v>
      </c>
      <c r="G60" s="1" t="s">
        <v>49</v>
      </c>
      <c r="H60" s="1" t="s">
        <v>482</v>
      </c>
      <c r="I60" s="1" t="s">
        <v>85</v>
      </c>
      <c r="J60" s="1" t="s">
        <v>480</v>
      </c>
      <c r="K60" s="2" t="s">
        <v>15</v>
      </c>
      <c r="L60" s="2" t="s">
        <v>86</v>
      </c>
      <c r="M60" s="1" t="s">
        <v>483</v>
      </c>
      <c r="N60" s="1" t="s">
        <v>484</v>
      </c>
      <c r="O60" s="3">
        <v>3.0</v>
      </c>
      <c r="P60" s="1" t="s">
        <v>89</v>
      </c>
      <c r="Q60" s="2" t="s">
        <v>485</v>
      </c>
      <c r="R60" s="1" t="s">
        <v>91</v>
      </c>
      <c r="S60" s="1" t="s">
        <v>486</v>
      </c>
      <c r="T60" s="2" t="s">
        <v>487</v>
      </c>
      <c r="U60" s="4" t="str">
        <f>IMAGE("https://drive.google.com/uc?id=1pg4s8b1Qgq_oK_520V4m2XXJt3fz3Ixm")</f>
        <v/>
      </c>
      <c r="V60" s="1" t="s">
        <v>94</v>
      </c>
      <c r="W60" s="1" t="s">
        <v>477</v>
      </c>
      <c r="X60" s="1" t="s">
        <v>488</v>
      </c>
    </row>
    <row r="61">
      <c r="A61" s="1" t="s">
        <v>489</v>
      </c>
      <c r="B61" s="1" t="s">
        <v>13</v>
      </c>
      <c r="C61" s="1" t="s">
        <v>490</v>
      </c>
      <c r="E61" s="1" t="s">
        <v>491</v>
      </c>
      <c r="F61" s="1" t="b">
        <v>1</v>
      </c>
      <c r="G61" s="1" t="s">
        <v>49</v>
      </c>
      <c r="H61" s="1" t="s">
        <v>492</v>
      </c>
      <c r="I61" s="1" t="s">
        <v>85</v>
      </c>
      <c r="J61" s="1" t="s">
        <v>490</v>
      </c>
      <c r="K61" s="2" t="s">
        <v>15</v>
      </c>
      <c r="L61" s="2" t="s">
        <v>86</v>
      </c>
      <c r="M61" s="1" t="s">
        <v>493</v>
      </c>
      <c r="N61" s="1" t="s">
        <v>494</v>
      </c>
      <c r="O61" s="3">
        <v>2.0</v>
      </c>
      <c r="P61" s="1" t="s">
        <v>89</v>
      </c>
      <c r="Q61" s="2" t="s">
        <v>495</v>
      </c>
      <c r="R61" s="1" t="s">
        <v>91</v>
      </c>
      <c r="S61" s="1" t="s">
        <v>496</v>
      </c>
      <c r="T61" s="2" t="s">
        <v>497</v>
      </c>
      <c r="U61" s="4" t="str">
        <f>IMAGE("https://drive.google.com/uc?id=1i0la0A_AgrRQombGFJZlhoR_z28izZlW")</f>
        <v/>
      </c>
      <c r="V61" s="1" t="s">
        <v>94</v>
      </c>
      <c r="W61" s="1" t="s">
        <v>477</v>
      </c>
      <c r="X61" s="1" t="s">
        <v>498</v>
      </c>
    </row>
    <row r="62">
      <c r="A62" s="1" t="s">
        <v>499</v>
      </c>
      <c r="B62" s="1" t="s">
        <v>13</v>
      </c>
      <c r="C62" s="1" t="s">
        <v>500</v>
      </c>
      <c r="E62" s="1" t="s">
        <v>501</v>
      </c>
      <c r="F62" s="1" t="b">
        <v>1</v>
      </c>
      <c r="G62" s="1" t="s">
        <v>49</v>
      </c>
      <c r="H62" s="1" t="s">
        <v>502</v>
      </c>
      <c r="I62" s="1" t="s">
        <v>85</v>
      </c>
      <c r="J62" s="1" t="s">
        <v>500</v>
      </c>
      <c r="K62" s="2" t="s">
        <v>15</v>
      </c>
      <c r="L62" s="2" t="s">
        <v>86</v>
      </c>
      <c r="M62" s="1" t="s">
        <v>503</v>
      </c>
      <c r="N62" s="1" t="s">
        <v>504</v>
      </c>
      <c r="O62" s="3">
        <v>2.0</v>
      </c>
      <c r="P62" s="1" t="s">
        <v>89</v>
      </c>
      <c r="Q62" s="2" t="s">
        <v>505</v>
      </c>
      <c r="R62" s="1" t="s">
        <v>91</v>
      </c>
      <c r="S62" s="1" t="s">
        <v>506</v>
      </c>
      <c r="T62" s="2" t="s">
        <v>507</v>
      </c>
      <c r="U62" s="4" t="str">
        <f>IMAGE("https://drive.google.com/uc?id=1cWJQrNAXNs3gEp39Nx1A7WbHPiEeSXM_")</f>
        <v/>
      </c>
      <c r="V62" s="1" t="s">
        <v>94</v>
      </c>
      <c r="W62" s="1" t="s">
        <v>477</v>
      </c>
      <c r="X62" s="1" t="s">
        <v>508</v>
      </c>
    </row>
    <row r="63">
      <c r="A63" s="1" t="s">
        <v>509</v>
      </c>
      <c r="B63" s="1" t="s">
        <v>13</v>
      </c>
      <c r="C63" s="1" t="s">
        <v>510</v>
      </c>
      <c r="E63" s="1" t="s">
        <v>511</v>
      </c>
      <c r="F63" s="1" t="b">
        <v>1</v>
      </c>
      <c r="G63" s="1" t="s">
        <v>49</v>
      </c>
      <c r="H63" s="1" t="s">
        <v>512</v>
      </c>
    </row>
    <row r="64">
      <c r="A64" s="1" t="s">
        <v>513</v>
      </c>
      <c r="B64" s="1" t="s">
        <v>13</v>
      </c>
      <c r="C64" s="1" t="s">
        <v>514</v>
      </c>
      <c r="E64" s="1" t="s">
        <v>515</v>
      </c>
      <c r="F64" s="1" t="b">
        <v>1</v>
      </c>
      <c r="G64" s="1" t="s">
        <v>49</v>
      </c>
      <c r="H64" s="1" t="s">
        <v>516</v>
      </c>
      <c r="I64" s="1" t="s">
        <v>85</v>
      </c>
      <c r="J64" s="1" t="s">
        <v>514</v>
      </c>
      <c r="K64" s="2" t="s">
        <v>15</v>
      </c>
      <c r="L64" s="2" t="s">
        <v>86</v>
      </c>
      <c r="M64" s="1" t="s">
        <v>517</v>
      </c>
      <c r="N64" s="1" t="s">
        <v>518</v>
      </c>
      <c r="O64" s="3">
        <v>2.0</v>
      </c>
      <c r="P64" s="1" t="s">
        <v>89</v>
      </c>
      <c r="Q64" s="2" t="s">
        <v>519</v>
      </c>
      <c r="R64" s="1" t="s">
        <v>91</v>
      </c>
      <c r="S64" s="1" t="s">
        <v>520</v>
      </c>
      <c r="T64" s="2" t="s">
        <v>521</v>
      </c>
      <c r="U64" s="4" t="str">
        <f>IMAGE("https://drive.google.com/uc?id=1Qotyn8d_EPar_TJRa0EhoWYRdL47_Ask")</f>
        <v/>
      </c>
      <c r="V64" s="1" t="s">
        <v>94</v>
      </c>
      <c r="W64" s="1" t="s">
        <v>477</v>
      </c>
      <c r="X64" s="1" t="s">
        <v>522</v>
      </c>
    </row>
    <row r="65">
      <c r="A65" s="1" t="s">
        <v>523</v>
      </c>
      <c r="B65" s="1" t="s">
        <v>13</v>
      </c>
      <c r="C65" s="1" t="s">
        <v>524</v>
      </c>
      <c r="E65" s="1" t="s">
        <v>525</v>
      </c>
      <c r="F65" s="1" t="b">
        <v>1</v>
      </c>
      <c r="G65" s="1" t="s">
        <v>49</v>
      </c>
      <c r="H65" s="1" t="s">
        <v>526</v>
      </c>
      <c r="I65" s="1" t="s">
        <v>85</v>
      </c>
      <c r="J65" s="1" t="s">
        <v>524</v>
      </c>
      <c r="K65" s="2" t="s">
        <v>15</v>
      </c>
      <c r="L65" s="2" t="s">
        <v>86</v>
      </c>
      <c r="M65" s="1" t="s">
        <v>527</v>
      </c>
      <c r="N65" s="1" t="s">
        <v>528</v>
      </c>
      <c r="O65" s="3">
        <v>2.0</v>
      </c>
      <c r="P65" s="1" t="s">
        <v>89</v>
      </c>
      <c r="Q65" s="2" t="s">
        <v>529</v>
      </c>
      <c r="R65" s="1" t="s">
        <v>91</v>
      </c>
      <c r="S65" s="1" t="s">
        <v>530</v>
      </c>
      <c r="T65" s="2" t="s">
        <v>531</v>
      </c>
      <c r="U65" s="4" t="str">
        <f>IMAGE("https://drive.google.com/uc?id=1Vb2yIl3spdCq1qL98SwOpJS5qhR9CWZ-")</f>
        <v/>
      </c>
      <c r="V65" s="1" t="s">
        <v>94</v>
      </c>
      <c r="W65" s="1" t="s">
        <v>477</v>
      </c>
      <c r="X65" s="1" t="s">
        <v>532</v>
      </c>
    </row>
    <row r="66">
      <c r="A66" s="1" t="s">
        <v>533</v>
      </c>
      <c r="B66" s="1" t="s">
        <v>13</v>
      </c>
      <c r="C66" s="1" t="s">
        <v>534</v>
      </c>
      <c r="E66" s="1" t="s">
        <v>535</v>
      </c>
      <c r="F66" s="1" t="b">
        <v>1</v>
      </c>
      <c r="G66" s="1" t="s">
        <v>49</v>
      </c>
      <c r="H66" s="1" t="s">
        <v>536</v>
      </c>
      <c r="I66" s="1" t="s">
        <v>85</v>
      </c>
      <c r="J66" s="1" t="s">
        <v>534</v>
      </c>
      <c r="K66" s="2" t="s">
        <v>15</v>
      </c>
      <c r="L66" s="2" t="s">
        <v>86</v>
      </c>
      <c r="M66" s="1" t="s">
        <v>537</v>
      </c>
      <c r="N66" s="1" t="s">
        <v>538</v>
      </c>
      <c r="O66" s="3">
        <v>2.0</v>
      </c>
      <c r="P66" s="1" t="s">
        <v>89</v>
      </c>
      <c r="Q66" s="2" t="s">
        <v>539</v>
      </c>
      <c r="R66" s="1" t="s">
        <v>91</v>
      </c>
      <c r="S66" s="1" t="s">
        <v>540</v>
      </c>
      <c r="T66" s="2" t="s">
        <v>541</v>
      </c>
      <c r="U66" s="4" t="str">
        <f>IMAGE("https://drive.google.com/uc?id=1BaSxbHxUKLOv2pBur_yGyIf14__z_PsT")</f>
        <v/>
      </c>
      <c r="V66" s="1" t="s">
        <v>94</v>
      </c>
      <c r="W66" s="1" t="s">
        <v>477</v>
      </c>
      <c r="X66" s="1" t="s">
        <v>542</v>
      </c>
    </row>
    <row r="67">
      <c r="A67" s="1" t="s">
        <v>543</v>
      </c>
      <c r="B67" s="1" t="s">
        <v>13</v>
      </c>
      <c r="C67" s="1" t="s">
        <v>544</v>
      </c>
      <c r="E67" s="1" t="s">
        <v>545</v>
      </c>
      <c r="F67" s="1" t="b">
        <v>1</v>
      </c>
      <c r="G67" s="1" t="s">
        <v>49</v>
      </c>
      <c r="H67" s="1" t="s">
        <v>546</v>
      </c>
      <c r="I67" s="1" t="s">
        <v>85</v>
      </c>
      <c r="J67" s="1" t="s">
        <v>544</v>
      </c>
      <c r="K67" s="2" t="s">
        <v>15</v>
      </c>
      <c r="L67" s="2" t="s">
        <v>86</v>
      </c>
      <c r="M67" s="1" t="s">
        <v>547</v>
      </c>
      <c r="N67" s="1" t="s">
        <v>548</v>
      </c>
      <c r="O67" s="3">
        <v>2.0</v>
      </c>
      <c r="P67" s="1" t="s">
        <v>89</v>
      </c>
      <c r="Q67" s="2" t="s">
        <v>549</v>
      </c>
      <c r="R67" s="1" t="s">
        <v>91</v>
      </c>
      <c r="S67" s="1" t="s">
        <v>550</v>
      </c>
      <c r="T67" s="2" t="s">
        <v>551</v>
      </c>
      <c r="U67" s="4" t="str">
        <f>IMAGE("https://drive.google.com/uc?id=1ja_8e3BZxKBD7sPb60KdqBUfC1V1auHr")</f>
        <v/>
      </c>
      <c r="V67" s="1" t="s">
        <v>94</v>
      </c>
      <c r="W67" s="1" t="s">
        <v>477</v>
      </c>
      <c r="X67" s="1" t="s">
        <v>552</v>
      </c>
    </row>
    <row r="68">
      <c r="A68" s="1" t="s">
        <v>553</v>
      </c>
      <c r="B68" s="1" t="s">
        <v>13</v>
      </c>
      <c r="C68" s="1" t="s">
        <v>554</v>
      </c>
      <c r="E68" s="1" t="s">
        <v>555</v>
      </c>
      <c r="F68" s="1" t="b">
        <v>1</v>
      </c>
      <c r="G68" s="1" t="s">
        <v>49</v>
      </c>
      <c r="H68" s="1" t="s">
        <v>556</v>
      </c>
      <c r="I68" s="1" t="s">
        <v>85</v>
      </c>
      <c r="J68" s="1" t="s">
        <v>554</v>
      </c>
      <c r="K68" s="2" t="s">
        <v>15</v>
      </c>
      <c r="L68" s="2" t="s">
        <v>86</v>
      </c>
      <c r="M68" s="1" t="s">
        <v>557</v>
      </c>
      <c r="N68" s="1" t="s">
        <v>558</v>
      </c>
      <c r="O68" s="3">
        <v>2.0</v>
      </c>
      <c r="P68" s="1" t="s">
        <v>89</v>
      </c>
      <c r="Q68" s="2" t="s">
        <v>559</v>
      </c>
      <c r="R68" s="1" t="s">
        <v>91</v>
      </c>
      <c r="S68" s="1" t="s">
        <v>560</v>
      </c>
      <c r="T68" s="2" t="s">
        <v>561</v>
      </c>
      <c r="U68" s="4" t="str">
        <f>IMAGE("https://drive.google.com/uc?id=1W9ePHiLYX6CpUUHiMVbwA2z70R2_ajrb")</f>
        <v/>
      </c>
      <c r="V68" s="1" t="s">
        <v>94</v>
      </c>
      <c r="W68" s="1" t="s">
        <v>477</v>
      </c>
      <c r="X68" s="1" t="s">
        <v>562</v>
      </c>
    </row>
    <row r="69">
      <c r="A69" s="1" t="s">
        <v>563</v>
      </c>
      <c r="B69" s="1" t="s">
        <v>9</v>
      </c>
      <c r="C69" s="1" t="s">
        <v>564</v>
      </c>
      <c r="E69" s="1" t="s">
        <v>565</v>
      </c>
      <c r="F69" s="1" t="b">
        <v>1</v>
      </c>
      <c r="G69" s="1" t="s">
        <v>49</v>
      </c>
      <c r="H69" s="1" t="s">
        <v>566</v>
      </c>
      <c r="I69" s="1" t="s">
        <v>85</v>
      </c>
      <c r="J69" s="1" t="s">
        <v>564</v>
      </c>
      <c r="K69" s="2" t="s">
        <v>11</v>
      </c>
      <c r="L69" s="2" t="s">
        <v>86</v>
      </c>
      <c r="M69" s="1" t="s">
        <v>567</v>
      </c>
      <c r="N69" s="1" t="s">
        <v>568</v>
      </c>
      <c r="O69" s="3">
        <v>9.0</v>
      </c>
      <c r="P69" s="1" t="s">
        <v>89</v>
      </c>
      <c r="Q69" s="2" t="s">
        <v>569</v>
      </c>
      <c r="R69" s="1" t="s">
        <v>91</v>
      </c>
      <c r="S69" s="1" t="s">
        <v>570</v>
      </c>
      <c r="T69" s="2" t="s">
        <v>571</v>
      </c>
      <c r="U69" s="4" t="str">
        <f>IMAGE("https://drive.google.com/uc?id=1p4f93Rnw1CGlEAJ_LeSanR6v7ncEhEL5")</f>
        <v/>
      </c>
      <c r="V69" s="1" t="s">
        <v>94</v>
      </c>
      <c r="W69" s="1" t="s">
        <v>10</v>
      </c>
      <c r="X69" s="1" t="s">
        <v>572</v>
      </c>
    </row>
    <row r="70">
      <c r="A70" s="1" t="s">
        <v>573</v>
      </c>
      <c r="B70" s="1" t="s">
        <v>9</v>
      </c>
      <c r="C70" s="1" t="s">
        <v>574</v>
      </c>
      <c r="E70" s="1" t="s">
        <v>575</v>
      </c>
      <c r="F70" s="1" t="b">
        <v>1</v>
      </c>
      <c r="G70" s="1" t="s">
        <v>49</v>
      </c>
      <c r="H70" s="1" t="s">
        <v>576</v>
      </c>
      <c r="I70" s="1" t="s">
        <v>85</v>
      </c>
      <c r="J70" s="1" t="s">
        <v>574</v>
      </c>
      <c r="K70" s="2" t="s">
        <v>11</v>
      </c>
      <c r="L70" s="2" t="s">
        <v>86</v>
      </c>
      <c r="M70" s="1" t="s">
        <v>577</v>
      </c>
      <c r="N70" s="1" t="s">
        <v>578</v>
      </c>
      <c r="O70" s="3">
        <v>3.0</v>
      </c>
      <c r="P70" s="1" t="s">
        <v>89</v>
      </c>
      <c r="Q70" s="2" t="s">
        <v>579</v>
      </c>
      <c r="R70" s="1" t="s">
        <v>91</v>
      </c>
      <c r="S70" s="1" t="s">
        <v>580</v>
      </c>
      <c r="T70" s="2" t="s">
        <v>581</v>
      </c>
      <c r="U70" s="4" t="str">
        <f>IMAGE("https://drive.google.com/uc?id=1ofXwCYyxnFw0LSlp9-qN-rYBKPxGIU5W")</f>
        <v/>
      </c>
      <c r="V70" s="1" t="s">
        <v>94</v>
      </c>
      <c r="W70" s="1" t="s">
        <v>10</v>
      </c>
      <c r="X70" s="1" t="s">
        <v>582</v>
      </c>
    </row>
    <row r="71">
      <c r="A71" s="1" t="s">
        <v>583</v>
      </c>
      <c r="B71" s="1" t="s">
        <v>9</v>
      </c>
      <c r="C71" s="1" t="s">
        <v>584</v>
      </c>
      <c r="E71" s="1" t="s">
        <v>585</v>
      </c>
      <c r="F71" s="1" t="b">
        <v>1</v>
      </c>
      <c r="G71" s="1" t="s">
        <v>49</v>
      </c>
      <c r="H71" s="1" t="s">
        <v>586</v>
      </c>
      <c r="I71" s="1" t="s">
        <v>85</v>
      </c>
      <c r="J71" s="1" t="s">
        <v>584</v>
      </c>
      <c r="K71" s="2" t="s">
        <v>11</v>
      </c>
      <c r="L71" s="2" t="s">
        <v>86</v>
      </c>
      <c r="M71" s="1" t="s">
        <v>587</v>
      </c>
      <c r="N71" s="1" t="s">
        <v>588</v>
      </c>
      <c r="O71" s="3">
        <v>5.0</v>
      </c>
      <c r="P71" s="1" t="s">
        <v>89</v>
      </c>
      <c r="Q71" s="2" t="s">
        <v>589</v>
      </c>
      <c r="R71" s="1" t="s">
        <v>91</v>
      </c>
      <c r="S71" s="1" t="s">
        <v>590</v>
      </c>
      <c r="T71" s="2" t="s">
        <v>591</v>
      </c>
      <c r="U71" s="4" t="str">
        <f>IMAGE("https://drive.google.com/uc?id=1twuX3OVwKgYy-Rqz4Cf8foLztdppGbJW")</f>
        <v/>
      </c>
      <c r="V71" s="1" t="s">
        <v>94</v>
      </c>
      <c r="W71" s="1" t="s">
        <v>10</v>
      </c>
      <c r="X71" s="1" t="s">
        <v>592</v>
      </c>
    </row>
    <row r="72">
      <c r="A72" s="1" t="s">
        <v>593</v>
      </c>
      <c r="B72" s="1" t="s">
        <v>9</v>
      </c>
      <c r="C72" s="1" t="s">
        <v>594</v>
      </c>
      <c r="E72" s="1" t="s">
        <v>595</v>
      </c>
      <c r="F72" s="1" t="b">
        <v>1</v>
      </c>
      <c r="G72" s="1" t="s">
        <v>49</v>
      </c>
      <c r="H72" s="1" t="s">
        <v>596</v>
      </c>
      <c r="I72" s="1" t="s">
        <v>85</v>
      </c>
      <c r="J72" s="1" t="s">
        <v>594</v>
      </c>
      <c r="K72" s="2" t="s">
        <v>11</v>
      </c>
      <c r="L72" s="2" t="s">
        <v>86</v>
      </c>
      <c r="M72" s="1" t="s">
        <v>597</v>
      </c>
      <c r="N72" s="1" t="s">
        <v>598</v>
      </c>
      <c r="O72" s="3">
        <v>3.0</v>
      </c>
      <c r="P72" s="1" t="s">
        <v>89</v>
      </c>
      <c r="Q72" s="2" t="s">
        <v>599</v>
      </c>
      <c r="R72" s="1" t="s">
        <v>91</v>
      </c>
      <c r="S72" s="1" t="s">
        <v>600</v>
      </c>
      <c r="T72" s="2" t="s">
        <v>601</v>
      </c>
      <c r="U72" s="4" t="str">
        <f>IMAGE("https://drive.google.com/uc?id=1c0C21Vmfq_6CNzqziPBtPQNDWrYqOMR6")</f>
        <v/>
      </c>
      <c r="V72" s="1" t="s">
        <v>94</v>
      </c>
      <c r="W72" s="1" t="s">
        <v>10</v>
      </c>
      <c r="X72" s="1" t="s">
        <v>602</v>
      </c>
    </row>
    <row r="73">
      <c r="A73" s="1" t="s">
        <v>603</v>
      </c>
      <c r="B73" s="1" t="s">
        <v>9</v>
      </c>
      <c r="C73" s="1" t="s">
        <v>604</v>
      </c>
      <c r="E73" s="1" t="s">
        <v>605</v>
      </c>
      <c r="F73" s="1" t="b">
        <v>1</v>
      </c>
      <c r="G73" s="1" t="s">
        <v>49</v>
      </c>
      <c r="H73" s="1" t="s">
        <v>606</v>
      </c>
      <c r="I73" s="1" t="s">
        <v>85</v>
      </c>
      <c r="J73" s="1" t="s">
        <v>604</v>
      </c>
      <c r="K73" s="2" t="s">
        <v>11</v>
      </c>
      <c r="L73" s="2" t="s">
        <v>86</v>
      </c>
      <c r="M73" s="1" t="s">
        <v>607</v>
      </c>
      <c r="N73" s="1" t="s">
        <v>608</v>
      </c>
      <c r="O73" s="3">
        <v>6.0</v>
      </c>
      <c r="P73" s="1" t="s">
        <v>89</v>
      </c>
      <c r="Q73" s="2" t="s">
        <v>609</v>
      </c>
      <c r="R73" s="1" t="s">
        <v>91</v>
      </c>
      <c r="S73" s="1" t="s">
        <v>610</v>
      </c>
      <c r="T73" s="2" t="s">
        <v>611</v>
      </c>
      <c r="U73" s="4" t="str">
        <f>IMAGE("https://drive.google.com/uc?id=1E7s71Q_-HEV5g86nzycqXBUZeJ-unEln")</f>
        <v/>
      </c>
      <c r="V73" s="1" t="s">
        <v>94</v>
      </c>
      <c r="W73" s="1" t="s">
        <v>10</v>
      </c>
      <c r="X73" s="1" t="s">
        <v>612</v>
      </c>
    </row>
    <row r="74">
      <c r="A74" s="1" t="s">
        <v>613</v>
      </c>
      <c r="B74" s="1" t="s">
        <v>9</v>
      </c>
      <c r="C74" s="1" t="s">
        <v>614</v>
      </c>
      <c r="E74" s="1" t="s">
        <v>615</v>
      </c>
      <c r="F74" s="1" t="b">
        <v>1</v>
      </c>
      <c r="G74" s="1" t="s">
        <v>49</v>
      </c>
      <c r="H74" s="1" t="s">
        <v>616</v>
      </c>
      <c r="I74" s="1" t="s">
        <v>85</v>
      </c>
      <c r="J74" s="1" t="s">
        <v>614</v>
      </c>
      <c r="K74" s="2" t="s">
        <v>11</v>
      </c>
      <c r="L74" s="2" t="s">
        <v>86</v>
      </c>
      <c r="M74" s="1" t="s">
        <v>617</v>
      </c>
      <c r="N74" s="1" t="s">
        <v>618</v>
      </c>
      <c r="O74" s="3">
        <v>6.0</v>
      </c>
      <c r="P74" s="1" t="s">
        <v>89</v>
      </c>
      <c r="Q74" s="2" t="s">
        <v>619</v>
      </c>
      <c r="R74" s="1" t="s">
        <v>91</v>
      </c>
      <c r="S74" s="1" t="s">
        <v>620</v>
      </c>
      <c r="T74" s="2" t="s">
        <v>621</v>
      </c>
      <c r="U74" s="4" t="str">
        <f>IMAGE("https://drive.google.com/uc?id=1AbVaR6fq5L_CV5FG1XP8qmRX5shglTBR")</f>
        <v/>
      </c>
      <c r="V74" s="1" t="s">
        <v>94</v>
      </c>
      <c r="W74" s="1" t="s">
        <v>10</v>
      </c>
      <c r="X74" s="1" t="s">
        <v>622</v>
      </c>
    </row>
    <row r="75">
      <c r="A75" s="1" t="s">
        <v>623</v>
      </c>
      <c r="B75" s="1" t="s">
        <v>9</v>
      </c>
      <c r="C75" s="1" t="s">
        <v>624</v>
      </c>
      <c r="E75" s="1" t="s">
        <v>625</v>
      </c>
      <c r="F75" s="1" t="b">
        <v>1</v>
      </c>
      <c r="G75" s="1" t="s">
        <v>49</v>
      </c>
      <c r="H75" s="1" t="s">
        <v>626</v>
      </c>
      <c r="I75" s="1" t="s">
        <v>85</v>
      </c>
      <c r="J75" s="1" t="s">
        <v>624</v>
      </c>
      <c r="K75" s="2" t="s">
        <v>11</v>
      </c>
      <c r="L75" s="2" t="s">
        <v>86</v>
      </c>
      <c r="M75" s="1" t="s">
        <v>627</v>
      </c>
      <c r="N75" s="1" t="s">
        <v>628</v>
      </c>
      <c r="O75" s="3">
        <v>6.0</v>
      </c>
      <c r="P75" s="1" t="s">
        <v>89</v>
      </c>
      <c r="Q75" s="2" t="s">
        <v>629</v>
      </c>
      <c r="R75" s="1" t="s">
        <v>91</v>
      </c>
      <c r="S75" s="1" t="s">
        <v>630</v>
      </c>
      <c r="T75" s="2" t="s">
        <v>631</v>
      </c>
      <c r="U75" s="4" t="str">
        <f>IMAGE("https://drive.google.com/uc?id=1xqUduS_awunc7GddEZLuc2bRW_1oXbGh")</f>
        <v/>
      </c>
      <c r="V75" s="1" t="s">
        <v>94</v>
      </c>
      <c r="W75" s="1" t="s">
        <v>10</v>
      </c>
      <c r="X75" s="1" t="s">
        <v>632</v>
      </c>
    </row>
    <row r="76">
      <c r="A76" s="1" t="s">
        <v>633</v>
      </c>
      <c r="B76" s="1" t="s">
        <v>9</v>
      </c>
      <c r="C76" s="1" t="s">
        <v>634</v>
      </c>
      <c r="E76" s="1" t="s">
        <v>635</v>
      </c>
      <c r="F76" s="1" t="b">
        <v>1</v>
      </c>
      <c r="G76" s="1" t="s">
        <v>49</v>
      </c>
      <c r="H76" s="1" t="s">
        <v>636</v>
      </c>
      <c r="I76" s="1" t="s">
        <v>85</v>
      </c>
      <c r="J76" s="1" t="s">
        <v>634</v>
      </c>
      <c r="K76" s="2" t="s">
        <v>11</v>
      </c>
      <c r="L76" s="2" t="s">
        <v>86</v>
      </c>
      <c r="M76" s="1" t="s">
        <v>637</v>
      </c>
      <c r="N76" s="1" t="s">
        <v>638</v>
      </c>
      <c r="O76" s="3">
        <v>6.0</v>
      </c>
      <c r="P76" s="1" t="s">
        <v>89</v>
      </c>
      <c r="Q76" s="2" t="s">
        <v>639</v>
      </c>
      <c r="R76" s="1" t="s">
        <v>91</v>
      </c>
      <c r="S76" s="1" t="s">
        <v>640</v>
      </c>
      <c r="T76" s="2" t="s">
        <v>641</v>
      </c>
      <c r="U76" s="4" t="str">
        <f>IMAGE("https://drive.google.com/uc?id=1DlQa4LcFBfNAQUjQb0DHqfYbyStlLgLc")</f>
        <v/>
      </c>
      <c r="V76" s="1" t="s">
        <v>94</v>
      </c>
      <c r="W76" s="1" t="s">
        <v>10</v>
      </c>
      <c r="X76" s="1" t="s">
        <v>642</v>
      </c>
    </row>
    <row r="77">
      <c r="A77" s="1" t="s">
        <v>643</v>
      </c>
      <c r="B77" s="1" t="s">
        <v>9</v>
      </c>
      <c r="C77" s="1" t="s">
        <v>644</v>
      </c>
      <c r="E77" s="1" t="s">
        <v>645</v>
      </c>
      <c r="F77" s="1" t="b">
        <v>1</v>
      </c>
      <c r="G77" s="1" t="s">
        <v>49</v>
      </c>
      <c r="H77" s="1" t="s">
        <v>646</v>
      </c>
      <c r="I77" s="1" t="s">
        <v>85</v>
      </c>
      <c r="J77" s="1" t="s">
        <v>644</v>
      </c>
      <c r="K77" s="2" t="s">
        <v>11</v>
      </c>
      <c r="L77" s="2" t="s">
        <v>86</v>
      </c>
      <c r="M77" s="1" t="s">
        <v>647</v>
      </c>
      <c r="N77" s="1" t="s">
        <v>648</v>
      </c>
      <c r="O77" s="3">
        <v>3.0</v>
      </c>
      <c r="P77" s="1" t="s">
        <v>89</v>
      </c>
      <c r="Q77" s="2" t="s">
        <v>649</v>
      </c>
      <c r="R77" s="1" t="s">
        <v>91</v>
      </c>
      <c r="S77" s="1" t="s">
        <v>650</v>
      </c>
      <c r="T77" s="2" t="s">
        <v>651</v>
      </c>
      <c r="U77" s="4" t="str">
        <f>IMAGE("https://drive.google.com/uc?id=1vn_i7DYUWLlJC0xtuZgv7xPgc2Eq5K--")</f>
        <v/>
      </c>
      <c r="V77" s="1" t="s">
        <v>94</v>
      </c>
      <c r="W77" s="1" t="s">
        <v>10</v>
      </c>
      <c r="X77" s="1" t="s">
        <v>652</v>
      </c>
    </row>
    <row r="78">
      <c r="A78" s="1" t="s">
        <v>653</v>
      </c>
      <c r="B78" s="1" t="s">
        <v>21</v>
      </c>
      <c r="C78" s="1" t="s">
        <v>654</v>
      </c>
      <c r="E78" s="1" t="s">
        <v>655</v>
      </c>
      <c r="F78" s="1" t="b">
        <v>1</v>
      </c>
      <c r="G78" s="1" t="s">
        <v>49</v>
      </c>
      <c r="H78" s="1" t="s">
        <v>656</v>
      </c>
      <c r="I78" s="1" t="s">
        <v>85</v>
      </c>
      <c r="J78" s="1" t="s">
        <v>654</v>
      </c>
      <c r="K78" s="2" t="s">
        <v>23</v>
      </c>
      <c r="L78" s="2" t="s">
        <v>86</v>
      </c>
      <c r="M78" s="1" t="s">
        <v>657</v>
      </c>
      <c r="N78" s="1" t="s">
        <v>658</v>
      </c>
      <c r="O78" s="3">
        <v>3.0</v>
      </c>
      <c r="P78" s="1" t="s">
        <v>89</v>
      </c>
      <c r="Q78" s="2" t="s">
        <v>659</v>
      </c>
      <c r="R78" s="1" t="s">
        <v>91</v>
      </c>
      <c r="S78" s="1" t="s">
        <v>660</v>
      </c>
      <c r="T78" s="2" t="s">
        <v>661</v>
      </c>
      <c r="U78" s="4" t="str">
        <f>IMAGE("https://drive.google.com/uc?id=1T72vne-xBZEbnSSkyTor_PAhOiOtJyNp")</f>
        <v/>
      </c>
      <c r="V78" s="1" t="s">
        <v>94</v>
      </c>
      <c r="W78" s="1" t="s">
        <v>22</v>
      </c>
      <c r="X78" s="1" t="s">
        <v>662</v>
      </c>
    </row>
    <row r="79">
      <c r="A79" s="1" t="s">
        <v>663</v>
      </c>
      <c r="B79" s="1" t="s">
        <v>21</v>
      </c>
      <c r="C79" s="1" t="s">
        <v>664</v>
      </c>
      <c r="E79" s="1" t="s">
        <v>665</v>
      </c>
      <c r="F79" s="1" t="b">
        <v>1</v>
      </c>
      <c r="G79" s="1" t="s">
        <v>49</v>
      </c>
      <c r="H79" s="1" t="s">
        <v>666</v>
      </c>
      <c r="I79" s="1" t="s">
        <v>85</v>
      </c>
      <c r="J79" s="1" t="s">
        <v>664</v>
      </c>
      <c r="K79" s="2" t="s">
        <v>23</v>
      </c>
      <c r="L79" s="2" t="s">
        <v>86</v>
      </c>
      <c r="M79" s="1" t="s">
        <v>667</v>
      </c>
      <c r="N79" s="1" t="s">
        <v>668</v>
      </c>
      <c r="O79" s="3">
        <v>6.0</v>
      </c>
      <c r="P79" s="1" t="s">
        <v>89</v>
      </c>
      <c r="Q79" s="2" t="s">
        <v>669</v>
      </c>
      <c r="R79" s="1" t="s">
        <v>91</v>
      </c>
      <c r="S79" s="1" t="s">
        <v>670</v>
      </c>
      <c r="T79" s="2" t="s">
        <v>671</v>
      </c>
      <c r="U79" s="4" t="str">
        <f>IMAGE("https://drive.google.com/uc?id=1bf_t3vogWRHTabX4kt6HS1jT8zkzvbJF")</f>
        <v/>
      </c>
      <c r="V79" s="1" t="s">
        <v>94</v>
      </c>
      <c r="W79" s="1" t="s">
        <v>22</v>
      </c>
      <c r="X79" s="1" t="s">
        <v>672</v>
      </c>
    </row>
    <row r="80">
      <c r="A80" s="1" t="s">
        <v>673</v>
      </c>
      <c r="B80" s="1" t="s">
        <v>21</v>
      </c>
      <c r="C80" s="1" t="s">
        <v>674</v>
      </c>
      <c r="E80" s="1" t="s">
        <v>675</v>
      </c>
      <c r="F80" s="1" t="b">
        <v>1</v>
      </c>
      <c r="G80" s="1" t="s">
        <v>49</v>
      </c>
      <c r="H80" s="1" t="s">
        <v>676</v>
      </c>
      <c r="I80" s="1" t="s">
        <v>85</v>
      </c>
      <c r="J80" s="1" t="s">
        <v>674</v>
      </c>
      <c r="K80" s="2" t="s">
        <v>23</v>
      </c>
      <c r="L80" s="2" t="s">
        <v>86</v>
      </c>
      <c r="M80" s="1" t="s">
        <v>677</v>
      </c>
      <c r="N80" s="1" t="s">
        <v>678</v>
      </c>
      <c r="O80" s="3">
        <v>3.0</v>
      </c>
      <c r="P80" s="1" t="s">
        <v>89</v>
      </c>
      <c r="Q80" s="2" t="s">
        <v>679</v>
      </c>
      <c r="R80" s="1" t="s">
        <v>91</v>
      </c>
      <c r="S80" s="1" t="s">
        <v>680</v>
      </c>
      <c r="T80" s="2" t="s">
        <v>681</v>
      </c>
      <c r="U80" s="4" t="str">
        <f>IMAGE("https://drive.google.com/uc?id=1dAqnbNtJizvfaX-ZF81EJByXF9qwy46B")</f>
        <v/>
      </c>
      <c r="V80" s="1" t="s">
        <v>94</v>
      </c>
      <c r="W80" s="1" t="s">
        <v>22</v>
      </c>
      <c r="X80" s="1" t="s">
        <v>682</v>
      </c>
    </row>
    <row r="81">
      <c r="A81" s="1" t="s">
        <v>683</v>
      </c>
      <c r="B81" s="1" t="s">
        <v>21</v>
      </c>
      <c r="C81" s="1" t="s">
        <v>684</v>
      </c>
      <c r="E81" s="1" t="s">
        <v>685</v>
      </c>
      <c r="F81" s="1" t="b">
        <v>1</v>
      </c>
      <c r="G81" s="1" t="s">
        <v>49</v>
      </c>
      <c r="H81" s="1" t="s">
        <v>686</v>
      </c>
      <c r="I81" s="1" t="s">
        <v>85</v>
      </c>
      <c r="J81" s="1" t="s">
        <v>684</v>
      </c>
      <c r="K81" s="2" t="s">
        <v>23</v>
      </c>
      <c r="L81" s="2" t="s">
        <v>86</v>
      </c>
      <c r="M81" s="1" t="s">
        <v>687</v>
      </c>
      <c r="N81" s="1" t="s">
        <v>688</v>
      </c>
      <c r="O81" s="3">
        <v>3.0</v>
      </c>
      <c r="P81" s="1" t="s">
        <v>89</v>
      </c>
      <c r="Q81" s="2" t="s">
        <v>689</v>
      </c>
      <c r="R81" s="1" t="s">
        <v>91</v>
      </c>
      <c r="S81" s="1" t="s">
        <v>690</v>
      </c>
      <c r="T81" s="2" t="s">
        <v>691</v>
      </c>
      <c r="U81" s="4" t="str">
        <f>IMAGE("https://drive.google.com/uc?id=1uTNI-SaEo2O09atFag2_CPY5nwcI-r1z")</f>
        <v/>
      </c>
      <c r="V81" s="1" t="s">
        <v>94</v>
      </c>
      <c r="W81" s="1" t="s">
        <v>22</v>
      </c>
      <c r="X81" s="1" t="s">
        <v>692</v>
      </c>
    </row>
    <row r="82">
      <c r="A82" s="1" t="s">
        <v>693</v>
      </c>
      <c r="B82" s="1" t="s">
        <v>21</v>
      </c>
      <c r="C82" s="1" t="s">
        <v>694</v>
      </c>
      <c r="E82" s="1" t="s">
        <v>695</v>
      </c>
      <c r="F82" s="1" t="b">
        <v>1</v>
      </c>
      <c r="G82" s="1" t="s">
        <v>49</v>
      </c>
      <c r="H82" s="1" t="s">
        <v>696</v>
      </c>
      <c r="I82" s="1" t="s">
        <v>85</v>
      </c>
      <c r="J82" s="1" t="s">
        <v>694</v>
      </c>
      <c r="K82" s="2" t="s">
        <v>23</v>
      </c>
      <c r="L82" s="2" t="s">
        <v>86</v>
      </c>
      <c r="M82" s="1" t="s">
        <v>697</v>
      </c>
      <c r="N82" s="1" t="s">
        <v>698</v>
      </c>
      <c r="O82" s="3">
        <v>6.0</v>
      </c>
      <c r="P82" s="1" t="s">
        <v>89</v>
      </c>
      <c r="Q82" s="2" t="s">
        <v>699</v>
      </c>
      <c r="R82" s="1" t="s">
        <v>91</v>
      </c>
      <c r="S82" s="1" t="s">
        <v>700</v>
      </c>
      <c r="T82" s="2" t="s">
        <v>701</v>
      </c>
      <c r="U82" s="4" t="str">
        <f>IMAGE("https://drive.google.com/uc?id=1qdI8g_QVVIyiFQi4XmTENBsm-_pbo2cJ")</f>
        <v/>
      </c>
      <c r="V82" s="1" t="s">
        <v>94</v>
      </c>
      <c r="W82" s="1" t="s">
        <v>22</v>
      </c>
      <c r="X82" s="1" t="s">
        <v>702</v>
      </c>
    </row>
    <row r="83">
      <c r="A83" s="1" t="s">
        <v>703</v>
      </c>
      <c r="B83" s="1" t="s">
        <v>21</v>
      </c>
      <c r="C83" s="1" t="s">
        <v>704</v>
      </c>
      <c r="E83" s="5" t="s">
        <v>705</v>
      </c>
      <c r="F83" s="1" t="b">
        <v>1</v>
      </c>
      <c r="G83" s="1" t="s">
        <v>49</v>
      </c>
      <c r="H83" s="1" t="s">
        <v>706</v>
      </c>
    </row>
    <row r="84">
      <c r="A84" s="1" t="s">
        <v>707</v>
      </c>
      <c r="B84" s="1" t="s">
        <v>21</v>
      </c>
      <c r="C84" s="1" t="s">
        <v>708</v>
      </c>
      <c r="E84" s="1" t="s">
        <v>709</v>
      </c>
      <c r="F84" s="1" t="b">
        <v>1</v>
      </c>
      <c r="G84" s="1" t="s">
        <v>49</v>
      </c>
      <c r="H84" s="1" t="s">
        <v>710</v>
      </c>
      <c r="I84" s="1" t="s">
        <v>85</v>
      </c>
      <c r="J84" s="1" t="s">
        <v>708</v>
      </c>
      <c r="K84" s="2" t="s">
        <v>23</v>
      </c>
      <c r="L84" s="2" t="s">
        <v>86</v>
      </c>
      <c r="M84" s="1" t="s">
        <v>711</v>
      </c>
      <c r="N84" s="1" t="s">
        <v>712</v>
      </c>
      <c r="O84" s="3">
        <v>10.0</v>
      </c>
      <c r="P84" s="1" t="s">
        <v>89</v>
      </c>
      <c r="Q84" s="2" t="s">
        <v>713</v>
      </c>
      <c r="R84" s="1" t="s">
        <v>91</v>
      </c>
      <c r="S84" s="1" t="s">
        <v>714</v>
      </c>
      <c r="T84" s="2" t="s">
        <v>715</v>
      </c>
      <c r="U84" s="4" t="str">
        <f>IMAGE("https://drive.google.com/uc?id=1f_FofslG-0XbNc1rBPzqW938t2FMsXed")</f>
        <v/>
      </c>
      <c r="V84" s="1" t="s">
        <v>94</v>
      </c>
      <c r="W84" s="1" t="s">
        <v>22</v>
      </c>
      <c r="X84" s="1" t="s">
        <v>716</v>
      </c>
    </row>
    <row r="85">
      <c r="A85" s="1" t="s">
        <v>717</v>
      </c>
      <c r="B85" s="1" t="s">
        <v>21</v>
      </c>
      <c r="C85" s="1" t="s">
        <v>718</v>
      </c>
      <c r="E85" s="1" t="s">
        <v>719</v>
      </c>
      <c r="F85" s="1" t="b">
        <v>1</v>
      </c>
      <c r="G85" s="1" t="s">
        <v>49</v>
      </c>
      <c r="H85" s="1" t="s">
        <v>720</v>
      </c>
      <c r="I85" s="1" t="s">
        <v>85</v>
      </c>
      <c r="J85" s="1" t="s">
        <v>718</v>
      </c>
      <c r="K85" s="2" t="s">
        <v>23</v>
      </c>
      <c r="L85" s="2" t="s">
        <v>86</v>
      </c>
      <c r="M85" s="1" t="s">
        <v>721</v>
      </c>
      <c r="N85" s="1" t="s">
        <v>722</v>
      </c>
      <c r="O85" s="3">
        <v>6.0</v>
      </c>
      <c r="P85" s="1" t="s">
        <v>89</v>
      </c>
      <c r="Q85" s="2" t="s">
        <v>723</v>
      </c>
      <c r="R85" s="1" t="s">
        <v>91</v>
      </c>
      <c r="S85" s="1" t="s">
        <v>724</v>
      </c>
      <c r="T85" s="2" t="s">
        <v>725</v>
      </c>
      <c r="U85" s="4" t="str">
        <f>IMAGE("https://drive.google.com/uc?id=1P0nG4IC-Yn6xdLpQnDDQXTUw2b8j3jZm")</f>
        <v/>
      </c>
      <c r="V85" s="1" t="s">
        <v>94</v>
      </c>
      <c r="W85" s="1" t="s">
        <v>22</v>
      </c>
      <c r="X85" s="1" t="s">
        <v>726</v>
      </c>
    </row>
    <row r="86">
      <c r="A86" s="1" t="s">
        <v>727</v>
      </c>
      <c r="B86" s="1" t="s">
        <v>21</v>
      </c>
      <c r="C86" s="1" t="s">
        <v>728</v>
      </c>
      <c r="E86" s="1" t="s">
        <v>729</v>
      </c>
      <c r="F86" s="1" t="b">
        <v>1</v>
      </c>
      <c r="G86" s="1" t="s">
        <v>49</v>
      </c>
      <c r="H86" s="1" t="s">
        <v>730</v>
      </c>
      <c r="I86" s="1" t="s">
        <v>85</v>
      </c>
      <c r="J86" s="1" t="s">
        <v>728</v>
      </c>
      <c r="K86" s="2" t="s">
        <v>23</v>
      </c>
      <c r="L86" s="2" t="s">
        <v>86</v>
      </c>
      <c r="M86" s="1" t="s">
        <v>731</v>
      </c>
      <c r="N86" s="1" t="s">
        <v>732</v>
      </c>
      <c r="O86" s="3">
        <v>6.0</v>
      </c>
      <c r="P86" s="1" t="s">
        <v>89</v>
      </c>
      <c r="Q86" s="2" t="s">
        <v>733</v>
      </c>
      <c r="R86" s="1" t="s">
        <v>91</v>
      </c>
      <c r="S86" s="1" t="s">
        <v>734</v>
      </c>
      <c r="T86" s="2" t="s">
        <v>735</v>
      </c>
      <c r="U86" s="4" t="str">
        <f>IMAGE("https://drive.google.com/uc?id=1HAEuNx8s9X2J6rFggRkgVYbyrT_6J_dm")</f>
        <v/>
      </c>
      <c r="V86" s="1" t="s">
        <v>94</v>
      </c>
      <c r="W86" s="1" t="s">
        <v>22</v>
      </c>
      <c r="X86" s="1" t="s">
        <v>736</v>
      </c>
    </row>
    <row r="87">
      <c r="A87" s="1" t="s">
        <v>737</v>
      </c>
      <c r="B87" s="1" t="s">
        <v>21</v>
      </c>
      <c r="C87" s="1" t="s">
        <v>738</v>
      </c>
      <c r="E87" s="1" t="s">
        <v>739</v>
      </c>
      <c r="F87" s="1" t="b">
        <v>1</v>
      </c>
      <c r="G87" s="1" t="s">
        <v>49</v>
      </c>
      <c r="H87" s="1" t="s">
        <v>740</v>
      </c>
      <c r="I87" s="1" t="s">
        <v>85</v>
      </c>
      <c r="J87" s="1" t="s">
        <v>738</v>
      </c>
      <c r="K87" s="2" t="s">
        <v>23</v>
      </c>
      <c r="L87" s="2" t="s">
        <v>86</v>
      </c>
      <c r="M87" s="1" t="s">
        <v>741</v>
      </c>
      <c r="N87" s="1" t="s">
        <v>742</v>
      </c>
      <c r="O87" s="3">
        <v>5.0</v>
      </c>
      <c r="P87" s="1" t="s">
        <v>89</v>
      </c>
      <c r="Q87" s="2" t="s">
        <v>743</v>
      </c>
      <c r="R87" s="1" t="s">
        <v>91</v>
      </c>
      <c r="S87" s="1" t="s">
        <v>744</v>
      </c>
      <c r="T87" s="2" t="s">
        <v>745</v>
      </c>
      <c r="U87" s="4" t="str">
        <f>IMAGE("https://drive.google.com/uc?id=1BDWb0oonnwqTzroWrwZdOg7K1qfbVVt-")</f>
        <v/>
      </c>
      <c r="V87" s="1" t="s">
        <v>94</v>
      </c>
      <c r="W87" s="1" t="s">
        <v>22</v>
      </c>
      <c r="X87" s="1" t="s">
        <v>746</v>
      </c>
    </row>
    <row r="88">
      <c r="A88" s="1" t="s">
        <v>747</v>
      </c>
      <c r="B88" s="1" t="s">
        <v>5</v>
      </c>
      <c r="C88" s="1" t="s">
        <v>748</v>
      </c>
      <c r="E88" s="1" t="s">
        <v>749</v>
      </c>
      <c r="F88" s="1" t="b">
        <v>1</v>
      </c>
      <c r="G88" s="1" t="s">
        <v>49</v>
      </c>
      <c r="H88" s="1" t="s">
        <v>750</v>
      </c>
      <c r="I88" s="1" t="s">
        <v>85</v>
      </c>
      <c r="J88" s="1" t="s">
        <v>748</v>
      </c>
      <c r="K88" s="2" t="s">
        <v>7</v>
      </c>
      <c r="L88" s="2" t="s">
        <v>86</v>
      </c>
      <c r="M88" s="1" t="s">
        <v>751</v>
      </c>
      <c r="N88" s="1" t="s">
        <v>752</v>
      </c>
      <c r="O88" s="3">
        <v>3.0</v>
      </c>
      <c r="P88" s="1" t="s">
        <v>89</v>
      </c>
      <c r="Q88" s="2" t="s">
        <v>753</v>
      </c>
      <c r="R88" s="1" t="s">
        <v>91</v>
      </c>
      <c r="S88" s="1" t="s">
        <v>754</v>
      </c>
      <c r="T88" s="2" t="s">
        <v>755</v>
      </c>
      <c r="U88" s="4" t="str">
        <f>IMAGE("https://drive.google.com/uc?id=1k8Mc0QJb9NfdFNJLRU2euYSzCq-9sL2q")</f>
        <v/>
      </c>
      <c r="V88" s="1" t="s">
        <v>94</v>
      </c>
      <c r="W88" s="1" t="s">
        <v>6</v>
      </c>
      <c r="X88" s="1" t="s">
        <v>756</v>
      </c>
    </row>
    <row r="89">
      <c r="A89" s="1" t="s">
        <v>757</v>
      </c>
      <c r="B89" s="1" t="s">
        <v>5</v>
      </c>
      <c r="C89" s="1" t="s">
        <v>758</v>
      </c>
      <c r="E89" s="1" t="s">
        <v>759</v>
      </c>
      <c r="F89" s="1" t="b">
        <v>1</v>
      </c>
      <c r="G89" s="1" t="s">
        <v>49</v>
      </c>
      <c r="H89" s="1" t="s">
        <v>760</v>
      </c>
      <c r="I89" s="1" t="s">
        <v>85</v>
      </c>
      <c r="J89" s="1" t="s">
        <v>758</v>
      </c>
      <c r="K89" s="2" t="s">
        <v>7</v>
      </c>
      <c r="L89" s="2" t="s">
        <v>86</v>
      </c>
      <c r="M89" s="1" t="s">
        <v>761</v>
      </c>
      <c r="N89" s="1" t="s">
        <v>762</v>
      </c>
      <c r="O89" s="3">
        <v>5.0</v>
      </c>
      <c r="P89" s="1" t="s">
        <v>89</v>
      </c>
      <c r="Q89" s="2" t="s">
        <v>763</v>
      </c>
      <c r="R89" s="1" t="s">
        <v>91</v>
      </c>
      <c r="S89" s="1" t="s">
        <v>764</v>
      </c>
      <c r="T89" s="2" t="s">
        <v>765</v>
      </c>
      <c r="U89" s="4" t="str">
        <f>IMAGE("https://drive.google.com/uc?id=1m21DTFDCqBkqtg5UGsMrmhvvS61nJwey")</f>
        <v/>
      </c>
      <c r="V89" s="1" t="s">
        <v>94</v>
      </c>
      <c r="W89" s="1" t="s">
        <v>6</v>
      </c>
      <c r="X89" s="1" t="s">
        <v>766</v>
      </c>
    </row>
    <row r="90">
      <c r="A90" s="1" t="s">
        <v>767</v>
      </c>
      <c r="B90" s="1" t="s">
        <v>5</v>
      </c>
      <c r="C90" s="1" t="s">
        <v>768</v>
      </c>
      <c r="E90" s="1" t="s">
        <v>769</v>
      </c>
      <c r="F90" s="1" t="b">
        <v>1</v>
      </c>
      <c r="G90" s="1" t="s">
        <v>49</v>
      </c>
      <c r="H90" s="1" t="s">
        <v>770</v>
      </c>
      <c r="I90" s="1" t="s">
        <v>85</v>
      </c>
      <c r="J90" s="1" t="s">
        <v>768</v>
      </c>
      <c r="K90" s="2" t="s">
        <v>7</v>
      </c>
      <c r="L90" s="2" t="s">
        <v>86</v>
      </c>
      <c r="M90" s="1" t="s">
        <v>771</v>
      </c>
      <c r="N90" s="1" t="s">
        <v>772</v>
      </c>
      <c r="O90" s="3">
        <v>3.0</v>
      </c>
      <c r="P90" s="1" t="s">
        <v>89</v>
      </c>
      <c r="Q90" s="2" t="s">
        <v>773</v>
      </c>
      <c r="R90" s="1" t="s">
        <v>91</v>
      </c>
      <c r="S90" s="1" t="s">
        <v>774</v>
      </c>
      <c r="T90" s="2" t="s">
        <v>775</v>
      </c>
      <c r="U90" s="4" t="str">
        <f>IMAGE("https://drive.google.com/uc?id=17yR_vLk5cJJpJQQGNiRz6A3kP7eA_vWy")</f>
        <v/>
      </c>
      <c r="V90" s="1" t="s">
        <v>94</v>
      </c>
      <c r="W90" s="1" t="s">
        <v>6</v>
      </c>
      <c r="X90" s="1" t="s">
        <v>776</v>
      </c>
    </row>
    <row r="91">
      <c r="A91" s="1" t="s">
        <v>777</v>
      </c>
      <c r="B91" s="1" t="s">
        <v>5</v>
      </c>
      <c r="C91" s="1" t="s">
        <v>778</v>
      </c>
      <c r="E91" s="1" t="s">
        <v>779</v>
      </c>
      <c r="F91" s="1" t="b">
        <v>1</v>
      </c>
      <c r="G91" s="1" t="s">
        <v>49</v>
      </c>
      <c r="H91" s="1" t="s">
        <v>780</v>
      </c>
      <c r="I91" s="1" t="s">
        <v>85</v>
      </c>
      <c r="J91" s="1" t="s">
        <v>778</v>
      </c>
      <c r="K91" s="2" t="s">
        <v>7</v>
      </c>
      <c r="L91" s="2" t="s">
        <v>86</v>
      </c>
      <c r="M91" s="1" t="s">
        <v>781</v>
      </c>
      <c r="N91" s="1" t="s">
        <v>782</v>
      </c>
      <c r="O91" s="3">
        <v>3.0</v>
      </c>
      <c r="P91" s="1" t="s">
        <v>89</v>
      </c>
      <c r="Q91" s="2" t="s">
        <v>783</v>
      </c>
      <c r="R91" s="1" t="s">
        <v>91</v>
      </c>
      <c r="S91" s="1" t="s">
        <v>784</v>
      </c>
      <c r="T91" s="2" t="s">
        <v>785</v>
      </c>
      <c r="U91" s="4" t="str">
        <f>IMAGE("https://drive.google.com/uc?id=1okYitVd-SpD92B_GZa74yEHRttLCIfLR")</f>
        <v/>
      </c>
      <c r="V91" s="1" t="s">
        <v>94</v>
      </c>
      <c r="W91" s="1" t="s">
        <v>6</v>
      </c>
      <c r="X91" s="1" t="s">
        <v>786</v>
      </c>
    </row>
    <row r="92">
      <c r="A92" s="1" t="s">
        <v>787</v>
      </c>
      <c r="B92" s="1" t="s">
        <v>5</v>
      </c>
      <c r="C92" s="1" t="s">
        <v>788</v>
      </c>
      <c r="E92" s="1" t="s">
        <v>789</v>
      </c>
      <c r="F92" s="1" t="b">
        <v>1</v>
      </c>
      <c r="G92" s="1" t="s">
        <v>54</v>
      </c>
      <c r="H92" s="1" t="s">
        <v>790</v>
      </c>
    </row>
    <row r="93">
      <c r="A93" s="1" t="s">
        <v>791</v>
      </c>
      <c r="B93" s="1" t="s">
        <v>5</v>
      </c>
      <c r="C93" s="1" t="s">
        <v>792</v>
      </c>
      <c r="E93" s="1" t="s">
        <v>793</v>
      </c>
      <c r="F93" s="1" t="b">
        <v>1</v>
      </c>
      <c r="G93" s="1" t="s">
        <v>49</v>
      </c>
      <c r="H93" s="1" t="s">
        <v>794</v>
      </c>
      <c r="I93" s="1" t="s">
        <v>85</v>
      </c>
      <c r="J93" s="1" t="s">
        <v>792</v>
      </c>
      <c r="K93" s="2" t="s">
        <v>7</v>
      </c>
      <c r="L93" s="2" t="s">
        <v>86</v>
      </c>
      <c r="M93" s="1" t="s">
        <v>795</v>
      </c>
      <c r="N93" s="1" t="s">
        <v>796</v>
      </c>
      <c r="O93" s="3">
        <v>3.0</v>
      </c>
      <c r="P93" s="1" t="s">
        <v>89</v>
      </c>
      <c r="Q93" s="2" t="s">
        <v>797</v>
      </c>
      <c r="R93" s="1" t="s">
        <v>91</v>
      </c>
      <c r="S93" s="1" t="s">
        <v>798</v>
      </c>
      <c r="T93" s="2" t="s">
        <v>799</v>
      </c>
      <c r="U93" s="4" t="str">
        <f>IMAGE("https://drive.google.com/uc?id=1wCoviRq70ODmORyg1UpxqrZk-56bFhPQ")</f>
        <v/>
      </c>
      <c r="V93" s="1" t="s">
        <v>94</v>
      </c>
      <c r="W93" s="1" t="s">
        <v>6</v>
      </c>
      <c r="X93" s="1" t="s">
        <v>800</v>
      </c>
    </row>
    <row r="94">
      <c r="A94" s="1" t="s">
        <v>801</v>
      </c>
      <c r="B94" s="1" t="s">
        <v>5</v>
      </c>
      <c r="C94" s="1" t="s">
        <v>802</v>
      </c>
      <c r="E94" s="1" t="s">
        <v>803</v>
      </c>
      <c r="F94" s="1" t="b">
        <v>1</v>
      </c>
      <c r="G94" s="1" t="s">
        <v>49</v>
      </c>
      <c r="H94" s="1" t="s">
        <v>804</v>
      </c>
      <c r="I94" s="1" t="s">
        <v>85</v>
      </c>
      <c r="J94" s="1" t="s">
        <v>802</v>
      </c>
      <c r="K94" s="2" t="s">
        <v>7</v>
      </c>
      <c r="L94" s="2" t="s">
        <v>86</v>
      </c>
      <c r="M94" s="1" t="s">
        <v>805</v>
      </c>
      <c r="N94" s="1" t="s">
        <v>806</v>
      </c>
      <c r="O94" s="3">
        <v>3.0</v>
      </c>
      <c r="P94" s="1" t="s">
        <v>89</v>
      </c>
      <c r="Q94" s="2" t="s">
        <v>807</v>
      </c>
      <c r="R94" s="1" t="s">
        <v>91</v>
      </c>
      <c r="S94" s="1" t="s">
        <v>808</v>
      </c>
      <c r="T94" s="2" t="s">
        <v>809</v>
      </c>
      <c r="U94" s="4" t="str">
        <f>IMAGE("https://drive.google.com/uc?id=1d_vwteGKCQxsBB4OfGpwdFM38TeDlKAA")</f>
        <v/>
      </c>
      <c r="V94" s="1" t="s">
        <v>94</v>
      </c>
      <c r="W94" s="1" t="s">
        <v>6</v>
      </c>
      <c r="X94" s="1" t="s">
        <v>810</v>
      </c>
    </row>
    <row r="95">
      <c r="A95" s="1" t="s">
        <v>811</v>
      </c>
      <c r="B95" s="1" t="s">
        <v>5</v>
      </c>
      <c r="C95" s="1" t="s">
        <v>812</v>
      </c>
      <c r="E95" s="1" t="s">
        <v>813</v>
      </c>
      <c r="F95" s="1" t="b">
        <v>1</v>
      </c>
      <c r="G95" s="1" t="s">
        <v>49</v>
      </c>
      <c r="H95" s="1" t="s">
        <v>814</v>
      </c>
      <c r="I95" s="1" t="s">
        <v>85</v>
      </c>
      <c r="J95" s="1" t="s">
        <v>812</v>
      </c>
      <c r="K95" s="2" t="s">
        <v>7</v>
      </c>
      <c r="L95" s="2" t="s">
        <v>86</v>
      </c>
      <c r="M95" s="1" t="s">
        <v>815</v>
      </c>
      <c r="N95" s="1" t="s">
        <v>816</v>
      </c>
      <c r="O95" s="3">
        <v>4.0</v>
      </c>
      <c r="P95" s="1" t="s">
        <v>89</v>
      </c>
      <c r="Q95" s="2" t="s">
        <v>817</v>
      </c>
      <c r="R95" s="1" t="s">
        <v>91</v>
      </c>
      <c r="S95" s="1" t="s">
        <v>818</v>
      </c>
      <c r="T95" s="2" t="s">
        <v>819</v>
      </c>
      <c r="U95" s="4" t="str">
        <f>IMAGE("https://drive.google.com/uc?id=1EEk3i_vFxVBh4K3o9mQaSifTREtg-_Q0")</f>
        <v/>
      </c>
      <c r="V95" s="1" t="s">
        <v>94</v>
      </c>
      <c r="W95" s="1" t="s">
        <v>6</v>
      </c>
      <c r="X95" s="1" t="s">
        <v>820</v>
      </c>
    </row>
    <row r="96">
      <c r="A96" s="1" t="s">
        <v>821</v>
      </c>
      <c r="B96" s="1" t="s">
        <v>17</v>
      </c>
      <c r="C96" s="1" t="s">
        <v>822</v>
      </c>
      <c r="E96" s="1" t="s">
        <v>823</v>
      </c>
      <c r="F96" s="1" t="b">
        <v>1</v>
      </c>
      <c r="G96" s="1" t="s">
        <v>49</v>
      </c>
      <c r="H96" s="1" t="s">
        <v>824</v>
      </c>
      <c r="I96" s="1" t="s">
        <v>85</v>
      </c>
      <c r="J96" s="1" t="s">
        <v>822</v>
      </c>
      <c r="K96" s="2" t="s">
        <v>19</v>
      </c>
      <c r="L96" s="2" t="s">
        <v>86</v>
      </c>
      <c r="M96" s="1" t="s">
        <v>825</v>
      </c>
      <c r="N96" s="1" t="s">
        <v>826</v>
      </c>
      <c r="O96" s="3">
        <v>3.0</v>
      </c>
      <c r="P96" s="1" t="s">
        <v>89</v>
      </c>
      <c r="Q96" s="2" t="s">
        <v>827</v>
      </c>
      <c r="R96" s="1" t="s">
        <v>91</v>
      </c>
      <c r="S96" s="1" t="s">
        <v>828</v>
      </c>
      <c r="T96" s="2" t="s">
        <v>829</v>
      </c>
      <c r="U96" s="4" t="str">
        <f>IMAGE("https://drive.google.com/uc?id=1WgIbT0d9hHkGjIyTHZ3qWly0ktOmXgXn")</f>
        <v/>
      </c>
      <c r="V96" s="1" t="s">
        <v>94</v>
      </c>
      <c r="W96" s="1" t="s">
        <v>18</v>
      </c>
      <c r="X96" s="1" t="s">
        <v>830</v>
      </c>
    </row>
    <row r="97">
      <c r="A97" s="1" t="s">
        <v>831</v>
      </c>
      <c r="B97" s="1" t="s">
        <v>17</v>
      </c>
      <c r="C97" s="1" t="s">
        <v>832</v>
      </c>
      <c r="E97" s="1" t="s">
        <v>833</v>
      </c>
      <c r="F97" s="1" t="b">
        <v>1</v>
      </c>
      <c r="G97" s="1" t="s">
        <v>49</v>
      </c>
      <c r="H97" s="1" t="s">
        <v>834</v>
      </c>
      <c r="I97" s="1" t="s">
        <v>85</v>
      </c>
      <c r="J97" s="1" t="s">
        <v>832</v>
      </c>
      <c r="K97" s="2" t="s">
        <v>19</v>
      </c>
      <c r="L97" s="2" t="s">
        <v>86</v>
      </c>
      <c r="M97" s="1" t="s">
        <v>835</v>
      </c>
      <c r="N97" s="1" t="s">
        <v>836</v>
      </c>
      <c r="O97" s="3">
        <v>5.0</v>
      </c>
      <c r="P97" s="1" t="s">
        <v>89</v>
      </c>
      <c r="Q97" s="2" t="s">
        <v>837</v>
      </c>
      <c r="R97" s="1" t="s">
        <v>91</v>
      </c>
      <c r="S97" s="1" t="s">
        <v>838</v>
      </c>
      <c r="T97" s="2" t="s">
        <v>839</v>
      </c>
      <c r="U97" s="4" t="str">
        <f>IMAGE("https://drive.google.com/uc?id=1cXRrWIW3f_aqWilUq-NliteaplrJcI1R")</f>
        <v/>
      </c>
      <c r="V97" s="1" t="s">
        <v>94</v>
      </c>
      <c r="W97" s="1" t="s">
        <v>18</v>
      </c>
      <c r="X97" s="1" t="s">
        <v>840</v>
      </c>
    </row>
    <row r="98">
      <c r="A98" s="1" t="s">
        <v>841</v>
      </c>
      <c r="B98" s="1" t="s">
        <v>17</v>
      </c>
      <c r="C98" s="1" t="s">
        <v>842</v>
      </c>
      <c r="E98" s="1" t="s">
        <v>843</v>
      </c>
      <c r="F98" s="1" t="b">
        <v>1</v>
      </c>
      <c r="G98" s="1" t="s">
        <v>54</v>
      </c>
      <c r="H98" s="1" t="s">
        <v>844</v>
      </c>
    </row>
    <row r="99">
      <c r="A99" s="1" t="s">
        <v>845</v>
      </c>
      <c r="B99" s="1" t="s">
        <v>17</v>
      </c>
      <c r="C99" s="1" t="s">
        <v>846</v>
      </c>
      <c r="E99" s="1" t="s">
        <v>847</v>
      </c>
      <c r="F99" s="1" t="b">
        <v>1</v>
      </c>
      <c r="G99" s="1" t="s">
        <v>49</v>
      </c>
      <c r="H99" s="1" t="s">
        <v>848</v>
      </c>
      <c r="I99" s="1" t="s">
        <v>85</v>
      </c>
      <c r="J99" s="1" t="s">
        <v>846</v>
      </c>
      <c r="K99" s="2" t="s">
        <v>19</v>
      </c>
      <c r="L99" s="2" t="s">
        <v>86</v>
      </c>
      <c r="M99" s="1" t="s">
        <v>849</v>
      </c>
      <c r="N99" s="1" t="s">
        <v>850</v>
      </c>
      <c r="O99" s="3">
        <v>5.0</v>
      </c>
      <c r="P99" s="1" t="s">
        <v>89</v>
      </c>
      <c r="Q99" s="2" t="s">
        <v>851</v>
      </c>
      <c r="R99" s="1" t="s">
        <v>91</v>
      </c>
      <c r="S99" s="1" t="s">
        <v>852</v>
      </c>
      <c r="T99" s="2" t="s">
        <v>853</v>
      </c>
      <c r="U99" s="4" t="str">
        <f>IMAGE("https://drive.google.com/uc?id=1nMaCePdTei_GCgL2eJIqnVBuB53XxlOw")</f>
        <v/>
      </c>
      <c r="V99" s="1" t="s">
        <v>94</v>
      </c>
      <c r="W99" s="1" t="s">
        <v>18</v>
      </c>
      <c r="X99" s="1" t="s">
        <v>854</v>
      </c>
    </row>
    <row r="100">
      <c r="A100" s="1" t="s">
        <v>855</v>
      </c>
      <c r="B100" s="1" t="s">
        <v>17</v>
      </c>
      <c r="C100" s="1" t="s">
        <v>856</v>
      </c>
      <c r="E100" s="1" t="s">
        <v>857</v>
      </c>
      <c r="F100" s="1" t="b">
        <v>1</v>
      </c>
      <c r="G100" s="1" t="s">
        <v>49</v>
      </c>
      <c r="H100" s="1" t="s">
        <v>858</v>
      </c>
      <c r="I100" s="1" t="s">
        <v>85</v>
      </c>
      <c r="J100" s="1" t="s">
        <v>856</v>
      </c>
      <c r="K100" s="2" t="s">
        <v>19</v>
      </c>
      <c r="L100" s="2" t="s">
        <v>86</v>
      </c>
      <c r="M100" s="1" t="s">
        <v>859</v>
      </c>
      <c r="N100" s="1" t="s">
        <v>860</v>
      </c>
      <c r="O100" s="3">
        <v>5.0</v>
      </c>
      <c r="P100" s="1" t="s">
        <v>89</v>
      </c>
      <c r="Q100" s="2" t="s">
        <v>861</v>
      </c>
      <c r="R100" s="1" t="s">
        <v>91</v>
      </c>
      <c r="S100" s="1" t="s">
        <v>862</v>
      </c>
      <c r="T100" s="2" t="s">
        <v>863</v>
      </c>
      <c r="U100" s="4" t="str">
        <f>IMAGE("https://drive.google.com/uc?id=1igngLxr74_o9J4ani_GvhiP9A9At1I1o")</f>
        <v/>
      </c>
      <c r="V100" s="1" t="s">
        <v>94</v>
      </c>
      <c r="W100" s="1" t="s">
        <v>18</v>
      </c>
      <c r="X100" s="1" t="s">
        <v>864</v>
      </c>
    </row>
    <row r="101">
      <c r="A101" s="1" t="s">
        <v>865</v>
      </c>
      <c r="B101" s="1" t="s">
        <v>17</v>
      </c>
      <c r="C101" s="1" t="s">
        <v>866</v>
      </c>
      <c r="E101" s="1" t="s">
        <v>867</v>
      </c>
      <c r="F101" s="1" t="b">
        <v>1</v>
      </c>
      <c r="G101" s="1" t="s">
        <v>49</v>
      </c>
      <c r="H101" s="1" t="s">
        <v>868</v>
      </c>
      <c r="I101" s="1" t="s">
        <v>85</v>
      </c>
      <c r="J101" s="1" t="s">
        <v>866</v>
      </c>
      <c r="K101" s="2" t="s">
        <v>19</v>
      </c>
      <c r="L101" s="2" t="s">
        <v>86</v>
      </c>
      <c r="M101" s="1" t="s">
        <v>869</v>
      </c>
      <c r="N101" s="1" t="s">
        <v>870</v>
      </c>
      <c r="O101" s="3">
        <v>5.0</v>
      </c>
      <c r="P101" s="1" t="s">
        <v>89</v>
      </c>
      <c r="Q101" s="2" t="s">
        <v>871</v>
      </c>
      <c r="R101" s="1" t="s">
        <v>91</v>
      </c>
      <c r="S101" s="1" t="s">
        <v>872</v>
      </c>
      <c r="T101" s="2" t="s">
        <v>873</v>
      </c>
      <c r="U101" s="4" t="str">
        <f>IMAGE("https://drive.google.com/uc?id=1Bof2TuB9xiTrMfTkWFLfDxoP-_690NZv")</f>
        <v/>
      </c>
      <c r="V101" s="1" t="s">
        <v>94</v>
      </c>
      <c r="W101" s="1" t="s">
        <v>18</v>
      </c>
      <c r="X101" s="1" t="s">
        <v>874</v>
      </c>
    </row>
    <row r="102">
      <c r="A102" s="1" t="s">
        <v>875</v>
      </c>
      <c r="B102" s="1" t="s">
        <v>17</v>
      </c>
      <c r="C102" s="1" t="s">
        <v>876</v>
      </c>
      <c r="E102" s="1" t="s">
        <v>877</v>
      </c>
      <c r="F102" s="1" t="b">
        <v>1</v>
      </c>
      <c r="G102" s="1" t="s">
        <v>54</v>
      </c>
      <c r="H102" s="1" t="s">
        <v>878</v>
      </c>
    </row>
    <row r="103">
      <c r="A103" s="1" t="s">
        <v>879</v>
      </c>
      <c r="B103" s="1" t="s">
        <v>9</v>
      </c>
      <c r="C103" s="1" t="s">
        <v>880</v>
      </c>
      <c r="E103" s="1" t="s">
        <v>881</v>
      </c>
      <c r="F103" s="1" t="b">
        <v>1</v>
      </c>
      <c r="G103" s="1" t="s">
        <v>49</v>
      </c>
      <c r="H103" s="1" t="s">
        <v>882</v>
      </c>
      <c r="I103" s="1" t="s">
        <v>85</v>
      </c>
      <c r="J103" s="1" t="s">
        <v>880</v>
      </c>
      <c r="K103" s="2" t="s">
        <v>11</v>
      </c>
      <c r="L103" s="2" t="s">
        <v>86</v>
      </c>
      <c r="M103" s="1" t="s">
        <v>883</v>
      </c>
      <c r="N103" s="1" t="s">
        <v>884</v>
      </c>
      <c r="O103" s="3">
        <v>5.0</v>
      </c>
      <c r="P103" s="1" t="s">
        <v>89</v>
      </c>
      <c r="Q103" s="2" t="s">
        <v>885</v>
      </c>
      <c r="R103" s="1" t="s">
        <v>91</v>
      </c>
      <c r="S103" s="1" t="s">
        <v>886</v>
      </c>
      <c r="T103" s="2" t="s">
        <v>887</v>
      </c>
      <c r="U103" s="4" t="str">
        <f>IMAGE("https://drive.google.com/uc?id=1JWIXV01RywnBzugWwPyBNCxbHli8gLmi")</f>
        <v/>
      </c>
      <c r="V103" s="1" t="s">
        <v>94</v>
      </c>
      <c r="W103" s="1" t="s">
        <v>10</v>
      </c>
      <c r="X103" s="1" t="s">
        <v>888</v>
      </c>
    </row>
    <row r="104">
      <c r="A104" s="1" t="s">
        <v>889</v>
      </c>
      <c r="B104" s="1" t="s">
        <v>9</v>
      </c>
      <c r="C104" s="1" t="s">
        <v>890</v>
      </c>
      <c r="E104" s="1" t="s">
        <v>891</v>
      </c>
      <c r="F104" s="1" t="b">
        <v>1</v>
      </c>
      <c r="G104" s="1" t="s">
        <v>49</v>
      </c>
      <c r="H104" s="1" t="s">
        <v>892</v>
      </c>
      <c r="I104" s="1" t="s">
        <v>85</v>
      </c>
      <c r="J104" s="1" t="s">
        <v>890</v>
      </c>
      <c r="K104" s="2" t="s">
        <v>11</v>
      </c>
      <c r="L104" s="2" t="s">
        <v>86</v>
      </c>
      <c r="M104" s="1" t="s">
        <v>893</v>
      </c>
      <c r="N104" s="1" t="s">
        <v>894</v>
      </c>
      <c r="O104" s="3">
        <v>5.0</v>
      </c>
      <c r="P104" s="1" t="s">
        <v>89</v>
      </c>
      <c r="Q104" s="2" t="s">
        <v>895</v>
      </c>
      <c r="R104" s="1" t="s">
        <v>91</v>
      </c>
      <c r="S104" s="1" t="s">
        <v>896</v>
      </c>
      <c r="T104" s="2" t="s">
        <v>897</v>
      </c>
      <c r="U104" s="4" t="str">
        <f>IMAGE("https://drive.google.com/uc?id=1iGLzVBImXNRnY2YToTGfO4dQB5NffJVA")</f>
        <v/>
      </c>
      <c r="V104" s="1" t="s">
        <v>94</v>
      </c>
      <c r="W104" s="1" t="s">
        <v>10</v>
      </c>
      <c r="X104" s="1" t="s">
        <v>898</v>
      </c>
    </row>
    <row r="105">
      <c r="A105" s="1" t="s">
        <v>899</v>
      </c>
      <c r="B105" s="1" t="s">
        <v>9</v>
      </c>
      <c r="C105" s="1" t="s">
        <v>900</v>
      </c>
      <c r="E105" s="1" t="s">
        <v>901</v>
      </c>
      <c r="F105" s="1" t="b">
        <v>1</v>
      </c>
      <c r="G105" s="1" t="s">
        <v>49</v>
      </c>
      <c r="H105" s="1" t="s">
        <v>902</v>
      </c>
      <c r="I105" s="1" t="s">
        <v>85</v>
      </c>
      <c r="J105" s="1" t="s">
        <v>900</v>
      </c>
      <c r="K105" s="2" t="s">
        <v>11</v>
      </c>
      <c r="L105" s="2" t="s">
        <v>86</v>
      </c>
      <c r="M105" s="1" t="s">
        <v>903</v>
      </c>
      <c r="N105" s="1" t="s">
        <v>904</v>
      </c>
      <c r="O105" s="3">
        <v>5.0</v>
      </c>
      <c r="P105" s="1" t="s">
        <v>89</v>
      </c>
      <c r="Q105" s="2" t="s">
        <v>905</v>
      </c>
      <c r="R105" s="1" t="s">
        <v>91</v>
      </c>
      <c r="S105" s="1" t="s">
        <v>906</v>
      </c>
      <c r="T105" s="2" t="s">
        <v>907</v>
      </c>
      <c r="U105" s="4" t="str">
        <f>IMAGE("https://drive.google.com/uc?id=1fXrz7fIsWbU0JGnwW8q2oaAFGyPTaIjO")</f>
        <v/>
      </c>
      <c r="V105" s="1" t="s">
        <v>94</v>
      </c>
      <c r="W105" s="1" t="s">
        <v>10</v>
      </c>
      <c r="X105" s="1" t="s">
        <v>908</v>
      </c>
    </row>
    <row r="106">
      <c r="A106" s="1" t="s">
        <v>909</v>
      </c>
      <c r="B106" s="1" t="s">
        <v>9</v>
      </c>
      <c r="C106" s="1" t="s">
        <v>910</v>
      </c>
      <c r="E106" s="5" t="s">
        <v>911</v>
      </c>
      <c r="F106" s="1" t="b">
        <v>1</v>
      </c>
      <c r="G106" s="1" t="s">
        <v>54</v>
      </c>
      <c r="H106" s="1" t="s">
        <v>912</v>
      </c>
    </row>
    <row r="107">
      <c r="A107" s="1" t="s">
        <v>913</v>
      </c>
      <c r="B107" s="1" t="s">
        <v>9</v>
      </c>
      <c r="C107" s="1" t="s">
        <v>914</v>
      </c>
      <c r="E107" s="1" t="s">
        <v>915</v>
      </c>
      <c r="F107" s="1" t="b">
        <v>1</v>
      </c>
      <c r="G107" s="1" t="s">
        <v>49</v>
      </c>
      <c r="H107" s="1" t="s">
        <v>916</v>
      </c>
      <c r="I107" s="1" t="s">
        <v>85</v>
      </c>
      <c r="J107" s="1" t="s">
        <v>914</v>
      </c>
      <c r="K107" s="2" t="s">
        <v>11</v>
      </c>
      <c r="L107" s="2" t="s">
        <v>86</v>
      </c>
      <c r="M107" s="1" t="s">
        <v>917</v>
      </c>
      <c r="N107" s="1" t="s">
        <v>918</v>
      </c>
      <c r="O107" s="3">
        <v>6.0</v>
      </c>
      <c r="P107" s="1" t="s">
        <v>89</v>
      </c>
      <c r="Q107" s="2" t="s">
        <v>919</v>
      </c>
      <c r="R107" s="1" t="s">
        <v>91</v>
      </c>
      <c r="S107" s="1" t="s">
        <v>920</v>
      </c>
      <c r="T107" s="2" t="s">
        <v>921</v>
      </c>
      <c r="U107" s="4" t="str">
        <f>IMAGE("https://drive.google.com/uc?id=1hccahspqV0banm876ikyglhfyErqqMgB")</f>
        <v/>
      </c>
      <c r="V107" s="1" t="s">
        <v>94</v>
      </c>
      <c r="W107" s="1" t="s">
        <v>10</v>
      </c>
      <c r="X107" s="1" t="s">
        <v>922</v>
      </c>
    </row>
    <row r="108">
      <c r="A108" s="1" t="s">
        <v>923</v>
      </c>
      <c r="B108" s="1" t="s">
        <v>9</v>
      </c>
      <c r="C108" s="1" t="s">
        <v>924</v>
      </c>
      <c r="E108" s="1" t="s">
        <v>925</v>
      </c>
      <c r="F108" s="1" t="b">
        <v>1</v>
      </c>
      <c r="G108" s="1" t="s">
        <v>49</v>
      </c>
      <c r="H108" s="1" t="s">
        <v>926</v>
      </c>
      <c r="I108" s="1" t="s">
        <v>85</v>
      </c>
      <c r="J108" s="1" t="s">
        <v>924</v>
      </c>
      <c r="K108" s="2" t="s">
        <v>11</v>
      </c>
      <c r="L108" s="2" t="s">
        <v>86</v>
      </c>
      <c r="M108" s="1" t="s">
        <v>927</v>
      </c>
      <c r="N108" s="1" t="s">
        <v>928</v>
      </c>
      <c r="O108" s="3">
        <v>5.0</v>
      </c>
      <c r="P108" s="1" t="s">
        <v>89</v>
      </c>
      <c r="Q108" s="2" t="s">
        <v>929</v>
      </c>
      <c r="R108" s="1" t="s">
        <v>91</v>
      </c>
      <c r="S108" s="1" t="s">
        <v>930</v>
      </c>
      <c r="T108" s="2" t="s">
        <v>931</v>
      </c>
      <c r="U108" s="4" t="str">
        <f>IMAGE("https://drive.google.com/uc?id=1Wo_wiUtulyUVXvi66T7Uj02w9AA3rKbK")</f>
        <v/>
      </c>
      <c r="V108" s="1" t="s">
        <v>94</v>
      </c>
      <c r="W108" s="1" t="s">
        <v>10</v>
      </c>
      <c r="X108" s="1" t="s">
        <v>932</v>
      </c>
    </row>
    <row r="109">
      <c r="A109" s="1" t="s">
        <v>933</v>
      </c>
      <c r="B109" s="1" t="s">
        <v>9</v>
      </c>
      <c r="C109" s="1" t="s">
        <v>934</v>
      </c>
      <c r="E109" s="1" t="s">
        <v>935</v>
      </c>
      <c r="F109" s="1" t="b">
        <v>1</v>
      </c>
      <c r="G109" s="1" t="s">
        <v>49</v>
      </c>
      <c r="H109" s="1" t="s">
        <v>936</v>
      </c>
      <c r="I109" s="1" t="s">
        <v>85</v>
      </c>
      <c r="J109" s="1" t="s">
        <v>934</v>
      </c>
      <c r="K109" s="2" t="s">
        <v>11</v>
      </c>
      <c r="L109" s="2" t="s">
        <v>86</v>
      </c>
      <c r="M109" s="1" t="s">
        <v>937</v>
      </c>
      <c r="N109" s="1" t="s">
        <v>938</v>
      </c>
      <c r="O109" s="3">
        <v>8.0</v>
      </c>
      <c r="P109" s="1" t="s">
        <v>89</v>
      </c>
      <c r="Q109" s="2" t="s">
        <v>939</v>
      </c>
      <c r="R109" s="1" t="s">
        <v>91</v>
      </c>
      <c r="S109" s="1" t="s">
        <v>940</v>
      </c>
      <c r="T109" s="2" t="s">
        <v>941</v>
      </c>
      <c r="U109" s="4" t="str">
        <f>IMAGE("https://drive.google.com/uc?id=1c3Be8fh4eJ2GrAlHdWigUarPyo0WdSWa")</f>
        <v/>
      </c>
      <c r="V109" s="1" t="s">
        <v>94</v>
      </c>
      <c r="W109" s="1" t="s">
        <v>10</v>
      </c>
      <c r="X109" s="1" t="s">
        <v>942</v>
      </c>
    </row>
    <row r="110">
      <c r="A110" s="1" t="s">
        <v>943</v>
      </c>
      <c r="B110" s="1" t="s">
        <v>9</v>
      </c>
      <c r="C110" s="1" t="s">
        <v>944</v>
      </c>
      <c r="E110" s="1" t="s">
        <v>945</v>
      </c>
      <c r="F110" s="1" t="b">
        <v>1</v>
      </c>
      <c r="G110" s="1" t="s">
        <v>49</v>
      </c>
      <c r="H110" s="1" t="s">
        <v>946</v>
      </c>
      <c r="I110" s="1" t="s">
        <v>85</v>
      </c>
      <c r="J110" s="1" t="s">
        <v>944</v>
      </c>
      <c r="K110" s="2" t="s">
        <v>11</v>
      </c>
      <c r="L110" s="2" t="s">
        <v>86</v>
      </c>
      <c r="M110" s="1" t="s">
        <v>947</v>
      </c>
      <c r="N110" s="1" t="s">
        <v>948</v>
      </c>
      <c r="O110" s="3">
        <v>6.0</v>
      </c>
      <c r="P110" s="1" t="s">
        <v>89</v>
      </c>
      <c r="Q110" s="2" t="s">
        <v>949</v>
      </c>
      <c r="R110" s="1" t="s">
        <v>91</v>
      </c>
      <c r="S110" s="1" t="s">
        <v>950</v>
      </c>
      <c r="T110" s="2" t="s">
        <v>951</v>
      </c>
      <c r="U110" s="4" t="str">
        <f>IMAGE("https://drive.google.com/uc?id=1QnfIUdLFzzPUaReQLTkLaDW3YNLBff_G")</f>
        <v/>
      </c>
      <c r="V110" s="1" t="s">
        <v>94</v>
      </c>
      <c r="W110" s="1" t="s">
        <v>10</v>
      </c>
      <c r="X110" s="1" t="s">
        <v>952</v>
      </c>
    </row>
    <row r="111">
      <c r="A111" s="1" t="s">
        <v>953</v>
      </c>
      <c r="B111" s="1" t="s">
        <v>9</v>
      </c>
      <c r="C111" s="1" t="s">
        <v>954</v>
      </c>
      <c r="E111" s="1" t="s">
        <v>955</v>
      </c>
      <c r="F111" s="1" t="b">
        <v>1</v>
      </c>
      <c r="G111" s="1" t="s">
        <v>49</v>
      </c>
      <c r="H111" s="1" t="s">
        <v>956</v>
      </c>
      <c r="I111" s="1" t="s">
        <v>85</v>
      </c>
      <c r="J111" s="1" t="s">
        <v>954</v>
      </c>
      <c r="K111" s="2" t="s">
        <v>11</v>
      </c>
      <c r="L111" s="2" t="s">
        <v>86</v>
      </c>
      <c r="M111" s="1" t="s">
        <v>957</v>
      </c>
      <c r="N111" s="1" t="s">
        <v>958</v>
      </c>
      <c r="O111" s="3">
        <v>2.0</v>
      </c>
      <c r="P111" s="1" t="s">
        <v>89</v>
      </c>
      <c r="Q111" s="2" t="s">
        <v>959</v>
      </c>
      <c r="R111" s="1" t="s">
        <v>91</v>
      </c>
      <c r="S111" s="1" t="s">
        <v>960</v>
      </c>
      <c r="T111" s="2" t="s">
        <v>961</v>
      </c>
      <c r="U111" s="4" t="str">
        <f>IMAGE("https://drive.google.com/uc?id=1WetMA-KcTPlBB3XFeEimnVNLRjbjg8Th")</f>
        <v/>
      </c>
      <c r="V111" s="1" t="s">
        <v>94</v>
      </c>
      <c r="W111" s="1" t="s">
        <v>10</v>
      </c>
      <c r="X111" s="1" t="s">
        <v>962</v>
      </c>
    </row>
    <row r="112">
      <c r="A112" s="1" t="s">
        <v>963</v>
      </c>
      <c r="B112" s="1" t="s">
        <v>9</v>
      </c>
      <c r="C112" s="1" t="s">
        <v>964</v>
      </c>
      <c r="E112" s="1" t="s">
        <v>965</v>
      </c>
      <c r="F112" s="1" t="b">
        <v>1</v>
      </c>
      <c r="G112" s="1" t="s">
        <v>49</v>
      </c>
      <c r="H112" s="1" t="s">
        <v>966</v>
      </c>
      <c r="I112" s="1" t="s">
        <v>85</v>
      </c>
      <c r="J112" s="1" t="s">
        <v>964</v>
      </c>
      <c r="K112" s="2" t="s">
        <v>11</v>
      </c>
      <c r="L112" s="2" t="s">
        <v>86</v>
      </c>
      <c r="M112" s="1" t="s">
        <v>967</v>
      </c>
      <c r="N112" s="1" t="s">
        <v>968</v>
      </c>
      <c r="O112" s="3">
        <v>5.0</v>
      </c>
      <c r="P112" s="1" t="s">
        <v>89</v>
      </c>
      <c r="Q112" s="2" t="s">
        <v>969</v>
      </c>
      <c r="R112" s="1" t="s">
        <v>91</v>
      </c>
      <c r="S112" s="1" t="s">
        <v>970</v>
      </c>
      <c r="T112" s="2" t="s">
        <v>971</v>
      </c>
      <c r="U112" s="4" t="str">
        <f>IMAGE("https://drive.google.com/uc?id=1SHyHQrss6hpg7gSWoCtN9LkiVjwTayD1")</f>
        <v/>
      </c>
      <c r="V112" s="1" t="s">
        <v>94</v>
      </c>
      <c r="W112" s="1" t="s">
        <v>10</v>
      </c>
      <c r="X112" s="1" t="s">
        <v>972</v>
      </c>
    </row>
    <row r="113">
      <c r="A113" s="1" t="s">
        <v>973</v>
      </c>
      <c r="B113" s="1" t="s">
        <v>21</v>
      </c>
      <c r="C113" s="1" t="s">
        <v>974</v>
      </c>
      <c r="E113" s="1" t="s">
        <v>975</v>
      </c>
      <c r="F113" s="1" t="b">
        <v>1</v>
      </c>
      <c r="G113" s="1" t="s">
        <v>49</v>
      </c>
      <c r="H113" s="1" t="s">
        <v>976</v>
      </c>
      <c r="I113" s="1" t="s">
        <v>85</v>
      </c>
      <c r="J113" s="1" t="s">
        <v>974</v>
      </c>
      <c r="K113" s="2" t="s">
        <v>23</v>
      </c>
      <c r="L113" s="2" t="s">
        <v>86</v>
      </c>
      <c r="M113" s="1" t="s">
        <v>977</v>
      </c>
      <c r="N113" s="1" t="s">
        <v>978</v>
      </c>
      <c r="O113" s="3">
        <v>5.0</v>
      </c>
      <c r="P113" s="1" t="s">
        <v>89</v>
      </c>
      <c r="Q113" s="2" t="s">
        <v>979</v>
      </c>
      <c r="R113" s="1" t="s">
        <v>91</v>
      </c>
      <c r="S113" s="1" t="s">
        <v>980</v>
      </c>
      <c r="T113" s="2" t="s">
        <v>981</v>
      </c>
      <c r="U113" s="4" t="str">
        <f>IMAGE("https://drive.google.com/uc?id=1eeP7pdNwA2Hl7dqvxekbNNHSrsyB4oqa")</f>
        <v/>
      </c>
      <c r="V113" s="1" t="s">
        <v>94</v>
      </c>
      <c r="W113" s="1" t="s">
        <v>22</v>
      </c>
      <c r="X113" s="1" t="s">
        <v>982</v>
      </c>
    </row>
    <row r="114">
      <c r="A114" s="1" t="s">
        <v>983</v>
      </c>
      <c r="B114" s="1" t="s">
        <v>21</v>
      </c>
      <c r="C114" s="1" t="s">
        <v>984</v>
      </c>
      <c r="E114" s="1" t="s">
        <v>985</v>
      </c>
      <c r="F114" s="1" t="b">
        <v>1</v>
      </c>
      <c r="G114" s="1" t="s">
        <v>49</v>
      </c>
      <c r="H114" s="1" t="s">
        <v>986</v>
      </c>
      <c r="I114" s="1" t="s">
        <v>85</v>
      </c>
      <c r="J114" s="1" t="s">
        <v>984</v>
      </c>
      <c r="K114" s="2" t="s">
        <v>23</v>
      </c>
      <c r="L114" s="2" t="s">
        <v>86</v>
      </c>
      <c r="M114" s="1" t="s">
        <v>987</v>
      </c>
      <c r="N114" s="1" t="s">
        <v>988</v>
      </c>
      <c r="O114" s="3">
        <v>5.0</v>
      </c>
      <c r="P114" s="1" t="s">
        <v>89</v>
      </c>
      <c r="Q114" s="2" t="s">
        <v>989</v>
      </c>
      <c r="R114" s="1" t="s">
        <v>91</v>
      </c>
      <c r="S114" s="1" t="s">
        <v>990</v>
      </c>
      <c r="T114" s="2" t="s">
        <v>991</v>
      </c>
      <c r="U114" s="4" t="str">
        <f>IMAGE("https://drive.google.com/uc?id=17rPBiaZp0VKCCM9vyWuGarPq5CTzQiDJ")</f>
        <v/>
      </c>
      <c r="V114" s="1" t="s">
        <v>94</v>
      </c>
      <c r="W114" s="1" t="s">
        <v>22</v>
      </c>
      <c r="X114" s="1" t="s">
        <v>992</v>
      </c>
    </row>
    <row r="115">
      <c r="A115" s="1" t="s">
        <v>993</v>
      </c>
      <c r="B115" s="1" t="s">
        <v>21</v>
      </c>
      <c r="C115" s="1" t="s">
        <v>994</v>
      </c>
      <c r="E115" s="1" t="s">
        <v>995</v>
      </c>
      <c r="F115" s="1" t="b">
        <v>1</v>
      </c>
      <c r="G115" s="1" t="s">
        <v>49</v>
      </c>
      <c r="H115" s="1" t="s">
        <v>996</v>
      </c>
      <c r="I115" s="1" t="s">
        <v>85</v>
      </c>
      <c r="J115" s="1" t="s">
        <v>994</v>
      </c>
      <c r="K115" s="2" t="s">
        <v>23</v>
      </c>
      <c r="L115" s="2" t="s">
        <v>86</v>
      </c>
      <c r="M115" s="1" t="s">
        <v>997</v>
      </c>
      <c r="N115" s="1" t="s">
        <v>998</v>
      </c>
      <c r="O115" s="3">
        <v>5.0</v>
      </c>
      <c r="P115" s="1" t="s">
        <v>89</v>
      </c>
      <c r="Q115" s="2" t="s">
        <v>999</v>
      </c>
      <c r="R115" s="1" t="s">
        <v>91</v>
      </c>
      <c r="S115" s="1" t="s">
        <v>1000</v>
      </c>
      <c r="T115" s="2" t="s">
        <v>1001</v>
      </c>
      <c r="U115" s="4" t="str">
        <f>IMAGE("https://drive.google.com/uc?id=1RcenUgdXXOG5jyzQghL683jv8RGTEezB")</f>
        <v/>
      </c>
      <c r="V115" s="1" t="s">
        <v>94</v>
      </c>
      <c r="W115" s="1" t="s">
        <v>22</v>
      </c>
      <c r="X115" s="1" t="s">
        <v>1002</v>
      </c>
    </row>
    <row r="116">
      <c r="A116" s="1" t="s">
        <v>1003</v>
      </c>
      <c r="B116" s="1" t="s">
        <v>21</v>
      </c>
      <c r="C116" s="1" t="s">
        <v>1004</v>
      </c>
      <c r="E116" s="1" t="s">
        <v>1005</v>
      </c>
      <c r="F116" s="1" t="b">
        <v>1</v>
      </c>
      <c r="G116" s="1" t="s">
        <v>49</v>
      </c>
      <c r="H116" s="1" t="s">
        <v>1006</v>
      </c>
      <c r="I116" s="1" t="s">
        <v>85</v>
      </c>
      <c r="J116" s="1" t="s">
        <v>1004</v>
      </c>
      <c r="K116" s="2" t="s">
        <v>23</v>
      </c>
      <c r="L116" s="2" t="s">
        <v>86</v>
      </c>
      <c r="M116" s="1" t="s">
        <v>1007</v>
      </c>
      <c r="N116" s="1" t="s">
        <v>1008</v>
      </c>
      <c r="O116" s="3">
        <v>3.0</v>
      </c>
      <c r="P116" s="1" t="s">
        <v>89</v>
      </c>
      <c r="Q116" s="2" t="s">
        <v>1009</v>
      </c>
      <c r="R116" s="1" t="s">
        <v>91</v>
      </c>
      <c r="S116" s="1" t="s">
        <v>1010</v>
      </c>
      <c r="T116" s="2" t="s">
        <v>1011</v>
      </c>
      <c r="U116" s="4" t="str">
        <f>IMAGE("https://drive.google.com/uc?id=1CMGiy-g6BEw9eJuSmQM53dMb3u7HPYpw")</f>
        <v/>
      </c>
      <c r="V116" s="1" t="s">
        <v>94</v>
      </c>
      <c r="W116" s="1" t="s">
        <v>22</v>
      </c>
      <c r="X116" s="1" t="s">
        <v>1012</v>
      </c>
    </row>
    <row r="117">
      <c r="A117" s="1" t="s">
        <v>1013</v>
      </c>
      <c r="B117" s="1" t="s">
        <v>21</v>
      </c>
      <c r="C117" s="1" t="s">
        <v>1014</v>
      </c>
      <c r="E117" s="1" t="s">
        <v>1015</v>
      </c>
      <c r="F117" s="1" t="b">
        <v>1</v>
      </c>
      <c r="G117" s="1" t="s">
        <v>49</v>
      </c>
      <c r="H117" s="1" t="s">
        <v>1016</v>
      </c>
      <c r="I117" s="1" t="s">
        <v>85</v>
      </c>
      <c r="J117" s="1" t="s">
        <v>1014</v>
      </c>
      <c r="K117" s="2" t="s">
        <v>23</v>
      </c>
      <c r="L117" s="2" t="s">
        <v>86</v>
      </c>
      <c r="M117" s="1" t="s">
        <v>1017</v>
      </c>
      <c r="N117" s="1" t="s">
        <v>1018</v>
      </c>
      <c r="O117" s="3">
        <v>3.0</v>
      </c>
      <c r="P117" s="1" t="s">
        <v>89</v>
      </c>
      <c r="Q117" s="2" t="s">
        <v>1019</v>
      </c>
      <c r="R117" s="1" t="s">
        <v>91</v>
      </c>
      <c r="S117" s="1" t="s">
        <v>1020</v>
      </c>
      <c r="T117" s="2" t="s">
        <v>1021</v>
      </c>
      <c r="U117" s="4" t="str">
        <f>IMAGE("https://drive.google.com/uc?id=1NkTiICUIozsy0k38fJMOaxHU8FLF4xs3")</f>
        <v/>
      </c>
      <c r="V117" s="1" t="s">
        <v>94</v>
      </c>
      <c r="W117" s="1" t="s">
        <v>22</v>
      </c>
      <c r="X117" s="1" t="s">
        <v>1022</v>
      </c>
    </row>
    <row r="118">
      <c r="A118" s="1" t="s">
        <v>1023</v>
      </c>
      <c r="B118" s="1" t="s">
        <v>21</v>
      </c>
      <c r="C118" s="1" t="s">
        <v>1024</v>
      </c>
      <c r="E118" s="1" t="s">
        <v>1025</v>
      </c>
      <c r="F118" s="1" t="b">
        <v>1</v>
      </c>
      <c r="G118" s="1" t="s">
        <v>49</v>
      </c>
      <c r="H118" s="1" t="s">
        <v>1026</v>
      </c>
      <c r="I118" s="1" t="s">
        <v>85</v>
      </c>
      <c r="J118" s="1" t="s">
        <v>1024</v>
      </c>
      <c r="K118" s="2" t="s">
        <v>23</v>
      </c>
      <c r="L118" s="2" t="s">
        <v>86</v>
      </c>
      <c r="M118" s="1" t="s">
        <v>1027</v>
      </c>
      <c r="N118" s="1" t="s">
        <v>1028</v>
      </c>
      <c r="O118" s="3">
        <v>6.0</v>
      </c>
      <c r="P118" s="1" t="s">
        <v>89</v>
      </c>
      <c r="Q118" s="2" t="s">
        <v>1029</v>
      </c>
      <c r="R118" s="1" t="s">
        <v>91</v>
      </c>
      <c r="S118" s="1" t="s">
        <v>1030</v>
      </c>
      <c r="T118" s="2" t="s">
        <v>1031</v>
      </c>
      <c r="U118" s="4" t="str">
        <f>IMAGE("https://drive.google.com/uc?id=1WBFcOI4E9unDmTCCfst5o-rnVYzb7F_Q")</f>
        <v/>
      </c>
      <c r="V118" s="1" t="s">
        <v>94</v>
      </c>
      <c r="W118" s="1" t="s">
        <v>22</v>
      </c>
      <c r="X118" s="1" t="s">
        <v>1032</v>
      </c>
    </row>
    <row r="119">
      <c r="A119" s="1" t="s">
        <v>1033</v>
      </c>
      <c r="B119" s="1" t="s">
        <v>21</v>
      </c>
      <c r="C119" s="1" t="s">
        <v>1034</v>
      </c>
      <c r="E119" s="1" t="s">
        <v>1035</v>
      </c>
      <c r="F119" s="1" t="b">
        <v>1</v>
      </c>
      <c r="G119" s="1" t="s">
        <v>49</v>
      </c>
      <c r="H119" s="1" t="s">
        <v>1036</v>
      </c>
      <c r="I119" s="1" t="s">
        <v>85</v>
      </c>
      <c r="J119" s="1" t="s">
        <v>1034</v>
      </c>
      <c r="K119" s="2" t="s">
        <v>23</v>
      </c>
      <c r="L119" s="2" t="s">
        <v>86</v>
      </c>
      <c r="M119" s="1" t="s">
        <v>1037</v>
      </c>
      <c r="N119" s="1" t="s">
        <v>1038</v>
      </c>
      <c r="O119" s="3">
        <v>3.0</v>
      </c>
      <c r="P119" s="1" t="s">
        <v>89</v>
      </c>
      <c r="Q119" s="2" t="s">
        <v>1039</v>
      </c>
      <c r="R119" s="1" t="s">
        <v>91</v>
      </c>
      <c r="S119" s="1" t="s">
        <v>1040</v>
      </c>
      <c r="T119" s="2" t="s">
        <v>1041</v>
      </c>
      <c r="U119" s="4" t="str">
        <f>IMAGE("https://drive.google.com/uc?id=1SMsbS_LD729RPrwMwN4Lb_Ua3JqsAmoS")</f>
        <v/>
      </c>
      <c r="V119" s="1" t="s">
        <v>94</v>
      </c>
      <c r="W119" s="1" t="s">
        <v>22</v>
      </c>
      <c r="X119" s="1" t="s">
        <v>1042</v>
      </c>
    </row>
    <row r="120">
      <c r="A120" s="1" t="s">
        <v>1043</v>
      </c>
      <c r="B120" s="1" t="s">
        <v>21</v>
      </c>
      <c r="C120" s="1" t="s">
        <v>1044</v>
      </c>
      <c r="E120" s="1" t="s">
        <v>1045</v>
      </c>
      <c r="F120" s="1" t="b">
        <v>1</v>
      </c>
      <c r="G120" s="1" t="s">
        <v>49</v>
      </c>
      <c r="H120" s="1" t="s">
        <v>1046</v>
      </c>
      <c r="I120" s="1" t="s">
        <v>85</v>
      </c>
      <c r="J120" s="1" t="s">
        <v>1044</v>
      </c>
      <c r="K120" s="2" t="s">
        <v>23</v>
      </c>
      <c r="L120" s="2" t="s">
        <v>86</v>
      </c>
      <c r="M120" s="1" t="s">
        <v>1047</v>
      </c>
      <c r="N120" s="1" t="s">
        <v>1048</v>
      </c>
      <c r="O120" s="3">
        <v>3.0</v>
      </c>
      <c r="P120" s="1" t="s">
        <v>89</v>
      </c>
      <c r="Q120" s="2" t="s">
        <v>1049</v>
      </c>
      <c r="R120" s="1" t="s">
        <v>91</v>
      </c>
      <c r="S120" s="1" t="s">
        <v>1050</v>
      </c>
      <c r="T120" s="2" t="s">
        <v>1051</v>
      </c>
      <c r="U120" s="4" t="str">
        <f>IMAGE("https://drive.google.com/uc?id=1JUlybPXawkvqzyfem5Cw2AlLgSQFB-Oe")</f>
        <v/>
      </c>
      <c r="V120" s="1" t="s">
        <v>94</v>
      </c>
      <c r="W120" s="1" t="s">
        <v>22</v>
      </c>
      <c r="X120" s="1" t="s">
        <v>1052</v>
      </c>
    </row>
    <row r="121">
      <c r="A121" s="1" t="s">
        <v>1053</v>
      </c>
      <c r="B121" s="1" t="s">
        <v>21</v>
      </c>
      <c r="C121" s="1" t="s">
        <v>1054</v>
      </c>
      <c r="E121" s="1" t="s">
        <v>1055</v>
      </c>
      <c r="F121" s="1" t="b">
        <v>1</v>
      </c>
      <c r="G121" s="1" t="s">
        <v>49</v>
      </c>
      <c r="H121" s="1" t="s">
        <v>1056</v>
      </c>
      <c r="I121" s="1" t="s">
        <v>85</v>
      </c>
      <c r="J121" s="1" t="s">
        <v>1054</v>
      </c>
      <c r="K121" s="2" t="s">
        <v>23</v>
      </c>
      <c r="L121" s="2" t="s">
        <v>86</v>
      </c>
      <c r="M121" s="1" t="s">
        <v>1057</v>
      </c>
      <c r="N121" s="1" t="s">
        <v>1058</v>
      </c>
      <c r="O121" s="3">
        <v>5.0</v>
      </c>
      <c r="P121" s="1" t="s">
        <v>89</v>
      </c>
      <c r="Q121" s="2" t="s">
        <v>1059</v>
      </c>
      <c r="R121" s="1" t="s">
        <v>91</v>
      </c>
      <c r="S121" s="1" t="s">
        <v>1060</v>
      </c>
      <c r="T121" s="2" t="s">
        <v>1061</v>
      </c>
      <c r="U121" s="4" t="str">
        <f>IMAGE("https://drive.google.com/uc?id=1Rd2OVDEQa-E5XMDWpcftX_yFthbOJVsb")</f>
        <v/>
      </c>
      <c r="V121" s="1" t="s">
        <v>94</v>
      </c>
      <c r="W121" s="1" t="s">
        <v>22</v>
      </c>
      <c r="X121" s="1" t="s">
        <v>1062</v>
      </c>
    </row>
    <row r="122">
      <c r="A122" s="1" t="s">
        <v>1063</v>
      </c>
      <c r="B122" s="1" t="s">
        <v>21</v>
      </c>
      <c r="C122" s="1" t="s">
        <v>1064</v>
      </c>
      <c r="E122" s="1" t="s">
        <v>1065</v>
      </c>
      <c r="F122" s="1" t="b">
        <v>1</v>
      </c>
      <c r="G122" s="1" t="s">
        <v>49</v>
      </c>
      <c r="H122" s="1" t="s">
        <v>1066</v>
      </c>
      <c r="I122" s="1" t="s">
        <v>85</v>
      </c>
      <c r="J122" s="1" t="s">
        <v>1064</v>
      </c>
      <c r="K122" s="2" t="s">
        <v>23</v>
      </c>
      <c r="L122" s="2" t="s">
        <v>86</v>
      </c>
      <c r="M122" s="1" t="s">
        <v>1067</v>
      </c>
      <c r="N122" s="1" t="s">
        <v>1068</v>
      </c>
      <c r="O122" s="3">
        <v>5.0</v>
      </c>
      <c r="P122" s="1" t="s">
        <v>89</v>
      </c>
      <c r="Q122" s="2" t="s">
        <v>1069</v>
      </c>
      <c r="R122" s="1" t="s">
        <v>91</v>
      </c>
      <c r="S122" s="1" t="s">
        <v>1070</v>
      </c>
      <c r="T122" s="2" t="s">
        <v>1071</v>
      </c>
      <c r="U122" s="4" t="str">
        <f>IMAGE("https://drive.google.com/uc?id=1pQWnx_IhVfJ0PgvGtWbXJcsJXJv-Sbdu")</f>
        <v/>
      </c>
      <c r="V122" s="1" t="s">
        <v>94</v>
      </c>
      <c r="W122" s="1" t="s">
        <v>22</v>
      </c>
      <c r="X122" s="1" t="s">
        <v>1072</v>
      </c>
    </row>
    <row r="123">
      <c r="A123" s="1" t="s">
        <v>1073</v>
      </c>
      <c r="B123" s="1" t="s">
        <v>13</v>
      </c>
      <c r="C123" s="1" t="s">
        <v>1074</v>
      </c>
      <c r="E123" s="1" t="s">
        <v>1075</v>
      </c>
      <c r="F123" s="1" t="b">
        <v>1</v>
      </c>
      <c r="G123" s="1" t="s">
        <v>49</v>
      </c>
      <c r="H123" s="1" t="s">
        <v>1076</v>
      </c>
      <c r="I123" s="1" t="s">
        <v>85</v>
      </c>
      <c r="J123" s="1" t="s">
        <v>1074</v>
      </c>
      <c r="K123" s="2" t="s">
        <v>15</v>
      </c>
      <c r="L123" s="2" t="s">
        <v>86</v>
      </c>
      <c r="M123" s="1" t="s">
        <v>1077</v>
      </c>
      <c r="N123" s="1" t="s">
        <v>1078</v>
      </c>
      <c r="O123" s="3">
        <v>2.0</v>
      </c>
      <c r="P123" s="1" t="s">
        <v>89</v>
      </c>
      <c r="Q123" s="2" t="s">
        <v>1079</v>
      </c>
      <c r="R123" s="1" t="s">
        <v>91</v>
      </c>
      <c r="S123" s="1" t="s">
        <v>1080</v>
      </c>
      <c r="T123" s="2" t="s">
        <v>1081</v>
      </c>
      <c r="U123" s="4" t="str">
        <f>IMAGE("https://drive.google.com/uc?id=1hBNktJcx9KHkAIxQWe6NCivhn6gJ4UKw")</f>
        <v/>
      </c>
      <c r="V123" s="1" t="s">
        <v>94</v>
      </c>
      <c r="W123" s="1" t="s">
        <v>14</v>
      </c>
      <c r="X123" s="1" t="s">
        <v>1082</v>
      </c>
    </row>
    <row r="124">
      <c r="A124" s="1" t="s">
        <v>1083</v>
      </c>
      <c r="B124" s="1" t="s">
        <v>13</v>
      </c>
      <c r="C124" s="1" t="s">
        <v>1084</v>
      </c>
      <c r="E124" s="1" t="s">
        <v>1085</v>
      </c>
      <c r="F124" s="1" t="b">
        <v>1</v>
      </c>
      <c r="G124" s="1" t="s">
        <v>49</v>
      </c>
      <c r="H124" s="1" t="s">
        <v>1086</v>
      </c>
      <c r="I124" s="1" t="s">
        <v>85</v>
      </c>
      <c r="J124" s="1" t="s">
        <v>1084</v>
      </c>
      <c r="K124" s="2" t="s">
        <v>15</v>
      </c>
      <c r="L124" s="2" t="s">
        <v>86</v>
      </c>
      <c r="M124" s="1" t="s">
        <v>1087</v>
      </c>
      <c r="N124" s="1" t="s">
        <v>1088</v>
      </c>
      <c r="O124" s="3">
        <v>2.0</v>
      </c>
      <c r="P124" s="1" t="s">
        <v>89</v>
      </c>
      <c r="Q124" s="2" t="s">
        <v>1089</v>
      </c>
      <c r="R124" s="1" t="s">
        <v>91</v>
      </c>
      <c r="S124" s="1" t="s">
        <v>1090</v>
      </c>
      <c r="T124" s="2" t="s">
        <v>1091</v>
      </c>
      <c r="U124" s="4" t="str">
        <f>IMAGE("https://drive.google.com/uc?id=1a7ugMlHeZdaB9tgePSDTahQwZO3gmAaH")</f>
        <v/>
      </c>
      <c r="V124" s="1" t="s">
        <v>94</v>
      </c>
      <c r="W124" s="1" t="s">
        <v>14</v>
      </c>
      <c r="X124" s="1" t="s">
        <v>1092</v>
      </c>
    </row>
    <row r="125">
      <c r="A125" s="1" t="s">
        <v>1093</v>
      </c>
      <c r="B125" s="1" t="s">
        <v>13</v>
      </c>
      <c r="C125" s="1" t="s">
        <v>1094</v>
      </c>
      <c r="E125" s="1" t="s">
        <v>1095</v>
      </c>
      <c r="F125" s="1" t="b">
        <v>1</v>
      </c>
      <c r="G125" s="1" t="s">
        <v>49</v>
      </c>
      <c r="H125" s="1" t="s">
        <v>1096</v>
      </c>
      <c r="I125" s="1" t="s">
        <v>85</v>
      </c>
      <c r="J125" s="1" t="s">
        <v>1094</v>
      </c>
      <c r="K125" s="2" t="s">
        <v>15</v>
      </c>
      <c r="L125" s="2" t="s">
        <v>86</v>
      </c>
      <c r="M125" s="1" t="s">
        <v>1097</v>
      </c>
      <c r="N125" s="1" t="s">
        <v>1098</v>
      </c>
      <c r="O125" s="3">
        <v>2.0</v>
      </c>
      <c r="P125" s="1" t="s">
        <v>89</v>
      </c>
      <c r="Q125" s="2" t="s">
        <v>1099</v>
      </c>
      <c r="R125" s="1" t="s">
        <v>91</v>
      </c>
      <c r="S125" s="1" t="s">
        <v>1100</v>
      </c>
      <c r="T125" s="2" t="s">
        <v>1101</v>
      </c>
      <c r="U125" s="4" t="str">
        <f>IMAGE("https://drive.google.com/uc?id=1kLCu4JoqWSfjtyhKzVaCfaOd8oXhoUJG")</f>
        <v/>
      </c>
      <c r="V125" s="1" t="s">
        <v>94</v>
      </c>
      <c r="W125" s="1" t="s">
        <v>14</v>
      </c>
      <c r="X125" s="1" t="s">
        <v>1102</v>
      </c>
    </row>
    <row r="126">
      <c r="A126" s="1" t="s">
        <v>1103</v>
      </c>
      <c r="B126" s="1" t="s">
        <v>13</v>
      </c>
      <c r="C126" s="1" t="s">
        <v>1104</v>
      </c>
      <c r="E126" s="1" t="s">
        <v>1105</v>
      </c>
      <c r="F126" s="1" t="b">
        <v>1</v>
      </c>
      <c r="G126" s="1" t="s">
        <v>54</v>
      </c>
      <c r="H126" s="1" t="s">
        <v>1106</v>
      </c>
    </row>
    <row r="127">
      <c r="A127" s="1" t="s">
        <v>1107</v>
      </c>
      <c r="B127" s="1" t="s">
        <v>13</v>
      </c>
      <c r="C127" s="1" t="s">
        <v>1108</v>
      </c>
      <c r="E127" s="1" t="s">
        <v>1109</v>
      </c>
      <c r="F127" s="1" t="b">
        <v>1</v>
      </c>
      <c r="G127" s="1" t="s">
        <v>49</v>
      </c>
      <c r="H127" s="1" t="s">
        <v>1110</v>
      </c>
      <c r="I127" s="1" t="s">
        <v>85</v>
      </c>
      <c r="J127" s="1" t="s">
        <v>1108</v>
      </c>
      <c r="K127" s="2" t="s">
        <v>15</v>
      </c>
      <c r="L127" s="2" t="s">
        <v>86</v>
      </c>
      <c r="M127" s="1" t="s">
        <v>1111</v>
      </c>
      <c r="N127" s="1" t="s">
        <v>1112</v>
      </c>
      <c r="O127" s="3">
        <v>2.0</v>
      </c>
      <c r="P127" s="1" t="s">
        <v>89</v>
      </c>
      <c r="Q127" s="2" t="s">
        <v>1113</v>
      </c>
      <c r="R127" s="1" t="s">
        <v>91</v>
      </c>
      <c r="S127" s="1" t="s">
        <v>1114</v>
      </c>
      <c r="T127" s="2" t="s">
        <v>1115</v>
      </c>
      <c r="U127" s="4" t="str">
        <f>IMAGE("https://drive.google.com/uc?id=1OPZbITCsVvQvO5Nukyv4cyi1kZUd1YrK")</f>
        <v/>
      </c>
      <c r="V127" s="1" t="s">
        <v>94</v>
      </c>
      <c r="W127" s="1" t="s">
        <v>14</v>
      </c>
      <c r="X127" s="1" t="s">
        <v>1116</v>
      </c>
    </row>
    <row r="128">
      <c r="A128" s="1" t="s">
        <v>1117</v>
      </c>
      <c r="B128" s="1" t="s">
        <v>13</v>
      </c>
      <c r="C128" s="1" t="s">
        <v>1118</v>
      </c>
      <c r="E128" s="1" t="s">
        <v>1119</v>
      </c>
      <c r="F128" s="1" t="b">
        <v>1</v>
      </c>
      <c r="G128" s="1" t="s">
        <v>49</v>
      </c>
      <c r="H128" s="1" t="s">
        <v>1120</v>
      </c>
      <c r="I128" s="1" t="s">
        <v>85</v>
      </c>
      <c r="J128" s="1" t="s">
        <v>1118</v>
      </c>
      <c r="K128" s="2" t="s">
        <v>15</v>
      </c>
      <c r="L128" s="2" t="s">
        <v>86</v>
      </c>
      <c r="M128" s="1" t="s">
        <v>1121</v>
      </c>
      <c r="N128" s="1" t="s">
        <v>1122</v>
      </c>
      <c r="O128" s="3">
        <v>2.0</v>
      </c>
      <c r="P128" s="1" t="s">
        <v>89</v>
      </c>
      <c r="Q128" s="2" t="s">
        <v>1123</v>
      </c>
      <c r="R128" s="1" t="s">
        <v>91</v>
      </c>
      <c r="S128" s="1" t="s">
        <v>1124</v>
      </c>
      <c r="T128" s="2" t="s">
        <v>1125</v>
      </c>
      <c r="U128" s="4" t="str">
        <f>IMAGE("https://drive.google.com/uc?id=15GUbr9ZcqtLSxHs1NxuXsILJC4XoJNFo")</f>
        <v/>
      </c>
      <c r="V128" s="1" t="s">
        <v>94</v>
      </c>
      <c r="W128" s="1" t="s">
        <v>14</v>
      </c>
      <c r="X128" s="1" t="s">
        <v>1126</v>
      </c>
    </row>
    <row r="129">
      <c r="A129" s="1" t="s">
        <v>1127</v>
      </c>
      <c r="B129" s="1" t="s">
        <v>13</v>
      </c>
      <c r="C129" s="1" t="s">
        <v>1128</v>
      </c>
      <c r="E129" s="1" t="s">
        <v>1129</v>
      </c>
      <c r="F129" s="1" t="b">
        <v>1</v>
      </c>
      <c r="G129" s="1" t="s">
        <v>54</v>
      </c>
      <c r="H129" s="1" t="s">
        <v>1130</v>
      </c>
    </row>
    <row r="130">
      <c r="A130" s="1" t="s">
        <v>1131</v>
      </c>
      <c r="B130" s="1" t="s">
        <v>13</v>
      </c>
      <c r="C130" s="1" t="s">
        <v>1132</v>
      </c>
      <c r="E130" s="1" t="s">
        <v>1133</v>
      </c>
      <c r="F130" s="1" t="b">
        <v>1</v>
      </c>
      <c r="G130" s="1" t="s">
        <v>49</v>
      </c>
      <c r="H130" s="1" t="s">
        <v>1134</v>
      </c>
      <c r="I130" s="1" t="s">
        <v>85</v>
      </c>
      <c r="J130" s="1" t="s">
        <v>1132</v>
      </c>
      <c r="K130" s="2" t="s">
        <v>15</v>
      </c>
      <c r="L130" s="2" t="s">
        <v>86</v>
      </c>
      <c r="M130" s="1" t="s">
        <v>1135</v>
      </c>
      <c r="N130" s="1" t="s">
        <v>1136</v>
      </c>
      <c r="O130" s="3">
        <v>3.0</v>
      </c>
      <c r="P130" s="1" t="s">
        <v>89</v>
      </c>
      <c r="Q130" s="2" t="s">
        <v>1137</v>
      </c>
      <c r="R130" s="1" t="s">
        <v>91</v>
      </c>
      <c r="S130" s="1" t="s">
        <v>1138</v>
      </c>
      <c r="T130" s="2" t="s">
        <v>1139</v>
      </c>
      <c r="U130" s="4" t="str">
        <f>IMAGE("https://drive.google.com/uc?id=1NRvjxDX2LhO3xNZ0hjI8GO1EZ7zab9e3")</f>
        <v/>
      </c>
      <c r="V130" s="1" t="s">
        <v>94</v>
      </c>
      <c r="W130" s="1" t="s">
        <v>14</v>
      </c>
      <c r="X130" s="1" t="s">
        <v>1140</v>
      </c>
    </row>
    <row r="131">
      <c r="A131" s="1" t="s">
        <v>1141</v>
      </c>
      <c r="B131" s="1" t="s">
        <v>13</v>
      </c>
      <c r="C131" s="1" t="s">
        <v>1142</v>
      </c>
      <c r="E131" s="1" t="s">
        <v>1143</v>
      </c>
      <c r="F131" s="1" t="b">
        <v>1</v>
      </c>
      <c r="G131" s="1" t="s">
        <v>49</v>
      </c>
      <c r="H131" s="1" t="s">
        <v>1144</v>
      </c>
      <c r="I131" s="1" t="s">
        <v>85</v>
      </c>
      <c r="J131" s="1" t="s">
        <v>1142</v>
      </c>
      <c r="K131" s="2" t="s">
        <v>15</v>
      </c>
      <c r="L131" s="2" t="s">
        <v>86</v>
      </c>
      <c r="M131" s="1" t="s">
        <v>1145</v>
      </c>
      <c r="N131" s="1" t="s">
        <v>1146</v>
      </c>
      <c r="O131" s="3">
        <v>2.0</v>
      </c>
      <c r="P131" s="1" t="s">
        <v>89</v>
      </c>
      <c r="Q131" s="2" t="s">
        <v>1147</v>
      </c>
      <c r="R131" s="1" t="s">
        <v>91</v>
      </c>
      <c r="S131" s="1" t="s">
        <v>1148</v>
      </c>
      <c r="T131" s="2" t="s">
        <v>1149</v>
      </c>
      <c r="U131" s="4" t="str">
        <f>IMAGE("https://drive.google.com/uc?id=1Y-Zfp8zgHghSaoO-na96xDCyEzWJCcR_")</f>
        <v/>
      </c>
      <c r="V131" s="1" t="s">
        <v>94</v>
      </c>
      <c r="W131" s="1" t="s">
        <v>14</v>
      </c>
      <c r="X131" s="1" t="s">
        <v>1150</v>
      </c>
    </row>
    <row r="132">
      <c r="A132" s="1" t="s">
        <v>1151</v>
      </c>
      <c r="B132" s="1" t="s">
        <v>13</v>
      </c>
      <c r="C132" s="1" t="s">
        <v>1152</v>
      </c>
      <c r="E132" s="1" t="s">
        <v>1153</v>
      </c>
      <c r="F132" s="1" t="b">
        <v>1</v>
      </c>
      <c r="G132" s="1" t="s">
        <v>49</v>
      </c>
      <c r="H132" s="1" t="s">
        <v>1154</v>
      </c>
      <c r="I132" s="1" t="s">
        <v>85</v>
      </c>
      <c r="J132" s="1" t="s">
        <v>1152</v>
      </c>
      <c r="K132" s="2" t="s">
        <v>15</v>
      </c>
      <c r="L132" s="2" t="s">
        <v>86</v>
      </c>
      <c r="M132" s="1" t="s">
        <v>1155</v>
      </c>
      <c r="N132" s="1" t="s">
        <v>1156</v>
      </c>
      <c r="O132" s="3">
        <v>2.0</v>
      </c>
      <c r="P132" s="1" t="s">
        <v>89</v>
      </c>
      <c r="Q132" s="2" t="s">
        <v>1157</v>
      </c>
      <c r="R132" s="1" t="s">
        <v>91</v>
      </c>
      <c r="S132" s="1" t="s">
        <v>1158</v>
      </c>
      <c r="T132" s="2" t="s">
        <v>1159</v>
      </c>
      <c r="U132" s="4" t="str">
        <f>IMAGE("https://drive.google.com/uc?id=1gNLP7v2yUiSrWnYnARt_jllLrDcJyz9R")</f>
        <v/>
      </c>
      <c r="V132" s="1" t="s">
        <v>94</v>
      </c>
      <c r="W132" s="1" t="s">
        <v>14</v>
      </c>
      <c r="X132" s="1" t="s">
        <v>1160</v>
      </c>
    </row>
    <row r="133">
      <c r="A133" s="1" t="s">
        <v>1161</v>
      </c>
      <c r="B133" s="1" t="s">
        <v>13</v>
      </c>
      <c r="C133" s="1" t="s">
        <v>1162</v>
      </c>
      <c r="E133" s="1" t="s">
        <v>1163</v>
      </c>
      <c r="F133" s="1" t="b">
        <v>1</v>
      </c>
      <c r="G133" s="1" t="s">
        <v>49</v>
      </c>
      <c r="H133" s="1" t="s">
        <v>1164</v>
      </c>
      <c r="I133" s="1" t="s">
        <v>85</v>
      </c>
      <c r="J133" s="1" t="s">
        <v>1162</v>
      </c>
      <c r="K133" s="2" t="s">
        <v>15</v>
      </c>
      <c r="L133" s="2" t="s">
        <v>86</v>
      </c>
      <c r="M133" s="1" t="s">
        <v>1165</v>
      </c>
      <c r="N133" s="1" t="s">
        <v>1166</v>
      </c>
      <c r="O133" s="3">
        <v>2.0</v>
      </c>
      <c r="P133" s="1" t="s">
        <v>89</v>
      </c>
      <c r="Q133" s="2" t="s">
        <v>1167</v>
      </c>
      <c r="R133" s="1" t="s">
        <v>91</v>
      </c>
      <c r="S133" s="1" t="s">
        <v>1168</v>
      </c>
      <c r="T133" s="2" t="s">
        <v>1169</v>
      </c>
      <c r="U133" s="4" t="str">
        <f>IMAGE("https://drive.google.com/uc?id=1hywJrtsUhuUQjmnAA90oXzg-4oiFByHJ")</f>
        <v/>
      </c>
      <c r="V133" s="1" t="s">
        <v>94</v>
      </c>
      <c r="W133" s="1" t="s">
        <v>14</v>
      </c>
      <c r="X133" s="1" t="s">
        <v>1170</v>
      </c>
    </row>
    <row r="134">
      <c r="A134" s="1" t="s">
        <v>1171</v>
      </c>
      <c r="B134" s="1" t="s">
        <v>13</v>
      </c>
      <c r="C134" s="1" t="s">
        <v>1172</v>
      </c>
      <c r="E134" s="1" t="s">
        <v>1173</v>
      </c>
      <c r="F134" s="1" t="b">
        <v>1</v>
      </c>
      <c r="G134" s="1" t="s">
        <v>49</v>
      </c>
      <c r="H134" s="1" t="s">
        <v>1174</v>
      </c>
      <c r="I134" s="1" t="s">
        <v>85</v>
      </c>
      <c r="J134" s="1" t="s">
        <v>1172</v>
      </c>
      <c r="K134" s="2" t="s">
        <v>15</v>
      </c>
      <c r="L134" s="2" t="s">
        <v>86</v>
      </c>
      <c r="M134" s="1" t="s">
        <v>1175</v>
      </c>
      <c r="N134" s="1" t="s">
        <v>1176</v>
      </c>
      <c r="O134" s="3">
        <v>2.0</v>
      </c>
      <c r="P134" s="1" t="s">
        <v>89</v>
      </c>
      <c r="Q134" s="2" t="s">
        <v>1177</v>
      </c>
      <c r="R134" s="1" t="s">
        <v>91</v>
      </c>
      <c r="S134" s="1" t="s">
        <v>1178</v>
      </c>
      <c r="T134" s="2" t="s">
        <v>1179</v>
      </c>
      <c r="U134" s="4" t="str">
        <f>IMAGE("https://drive.google.com/uc?id=1piNcrby3rajHw_--5Cz9_Ivm7xc1hk12")</f>
        <v/>
      </c>
      <c r="V134" s="1" t="s">
        <v>94</v>
      </c>
      <c r="W134" s="1" t="s">
        <v>14</v>
      </c>
      <c r="X134" s="1" t="s">
        <v>1180</v>
      </c>
    </row>
    <row r="135">
      <c r="A135" s="1" t="s">
        <v>1181</v>
      </c>
      <c r="B135" s="1" t="s">
        <v>13</v>
      </c>
      <c r="C135" s="1" t="s">
        <v>1182</v>
      </c>
      <c r="E135" s="1" t="s">
        <v>1183</v>
      </c>
      <c r="F135" s="1" t="b">
        <v>1</v>
      </c>
      <c r="G135" s="1" t="s">
        <v>49</v>
      </c>
      <c r="H135" s="1" t="s">
        <v>1184</v>
      </c>
      <c r="I135" s="1" t="s">
        <v>85</v>
      </c>
      <c r="J135" s="1" t="s">
        <v>1182</v>
      </c>
      <c r="K135" s="2" t="s">
        <v>15</v>
      </c>
      <c r="L135" s="2" t="s">
        <v>86</v>
      </c>
      <c r="M135" s="1" t="s">
        <v>1185</v>
      </c>
      <c r="N135" s="1" t="s">
        <v>1186</v>
      </c>
      <c r="O135" s="3">
        <v>2.0</v>
      </c>
      <c r="P135" s="1" t="s">
        <v>89</v>
      </c>
      <c r="Q135" s="2" t="s">
        <v>1187</v>
      </c>
      <c r="R135" s="1" t="s">
        <v>91</v>
      </c>
      <c r="S135" s="1" t="s">
        <v>1188</v>
      </c>
      <c r="T135" s="2" t="s">
        <v>1189</v>
      </c>
      <c r="U135" s="4" t="str">
        <f>IMAGE("https://drive.google.com/uc?id=1rpr9ZbgLgaduwQc0MD3YB31H3A-l5eFf")</f>
        <v/>
      </c>
      <c r="V135" s="1" t="s">
        <v>94</v>
      </c>
      <c r="W135" s="1" t="s">
        <v>14</v>
      </c>
      <c r="X135" s="1" t="s">
        <v>1190</v>
      </c>
    </row>
    <row r="136">
      <c r="A136" s="1" t="s">
        <v>1191</v>
      </c>
      <c r="B136" s="1" t="s">
        <v>5</v>
      </c>
      <c r="C136" s="1" t="s">
        <v>1192</v>
      </c>
      <c r="E136" s="1" t="s">
        <v>1193</v>
      </c>
      <c r="F136" s="1" t="b">
        <v>1</v>
      </c>
      <c r="G136" s="1" t="s">
        <v>49</v>
      </c>
      <c r="H136" s="1" t="s">
        <v>1194</v>
      </c>
      <c r="I136" s="1" t="s">
        <v>85</v>
      </c>
      <c r="J136" s="1" t="s">
        <v>1192</v>
      </c>
      <c r="K136" s="2" t="s">
        <v>7</v>
      </c>
      <c r="L136" s="2" t="s">
        <v>86</v>
      </c>
      <c r="M136" s="1" t="s">
        <v>1195</v>
      </c>
      <c r="N136" s="1" t="s">
        <v>1196</v>
      </c>
      <c r="O136" s="3">
        <v>3.0</v>
      </c>
      <c r="P136" s="1" t="s">
        <v>89</v>
      </c>
      <c r="Q136" s="2" t="s">
        <v>1197</v>
      </c>
      <c r="R136" s="1" t="s">
        <v>91</v>
      </c>
      <c r="S136" s="1" t="s">
        <v>1198</v>
      </c>
      <c r="T136" s="2" t="s">
        <v>1199</v>
      </c>
      <c r="U136" s="4" t="str">
        <f>IMAGE("https://drive.google.com/uc?id=13dFj4PT2gRoHpYus_4kOtyxy5xfZ0SC0")</f>
        <v/>
      </c>
      <c r="V136" s="1" t="s">
        <v>94</v>
      </c>
      <c r="W136" s="1" t="s">
        <v>6</v>
      </c>
      <c r="X136" s="1" t="s">
        <v>1200</v>
      </c>
    </row>
    <row r="137">
      <c r="A137" s="1" t="s">
        <v>1201</v>
      </c>
      <c r="B137" s="1" t="s">
        <v>5</v>
      </c>
      <c r="C137" s="1" t="s">
        <v>1202</v>
      </c>
      <c r="E137" s="1" t="s">
        <v>1203</v>
      </c>
      <c r="F137" s="1" t="b">
        <v>1</v>
      </c>
      <c r="G137" s="1" t="s">
        <v>49</v>
      </c>
      <c r="H137" s="1" t="s">
        <v>1204</v>
      </c>
      <c r="I137" s="1" t="s">
        <v>85</v>
      </c>
      <c r="J137" s="1" t="s">
        <v>1202</v>
      </c>
      <c r="K137" s="2" t="s">
        <v>7</v>
      </c>
      <c r="L137" s="2" t="s">
        <v>86</v>
      </c>
      <c r="M137" s="1" t="s">
        <v>1205</v>
      </c>
      <c r="N137" s="1" t="s">
        <v>1206</v>
      </c>
      <c r="O137" s="3">
        <v>4.0</v>
      </c>
      <c r="P137" s="1" t="s">
        <v>89</v>
      </c>
      <c r="Q137" s="2" t="s">
        <v>1207</v>
      </c>
      <c r="R137" s="1" t="s">
        <v>91</v>
      </c>
      <c r="S137" s="1" t="s">
        <v>1208</v>
      </c>
      <c r="T137" s="2" t="s">
        <v>1209</v>
      </c>
      <c r="U137" s="4" t="str">
        <f>IMAGE("https://drive.google.com/uc?id=1Rt2DxLZiSNh5ci9KEhxCQh_7N4-3DAfa")</f>
        <v/>
      </c>
      <c r="V137" s="1" t="s">
        <v>94</v>
      </c>
      <c r="W137" s="1" t="s">
        <v>6</v>
      </c>
      <c r="X137" s="1" t="s">
        <v>1210</v>
      </c>
    </row>
    <row r="138">
      <c r="A138" s="1" t="s">
        <v>1211</v>
      </c>
      <c r="B138" s="1" t="s">
        <v>5</v>
      </c>
      <c r="C138" s="1" t="s">
        <v>1212</v>
      </c>
      <c r="E138" s="1" t="s">
        <v>1213</v>
      </c>
      <c r="F138" s="1" t="b">
        <v>1</v>
      </c>
      <c r="G138" s="1" t="s">
        <v>49</v>
      </c>
      <c r="H138" s="1" t="s">
        <v>1214</v>
      </c>
      <c r="I138" s="1" t="s">
        <v>85</v>
      </c>
      <c r="J138" s="1" t="s">
        <v>1212</v>
      </c>
      <c r="K138" s="2" t="s">
        <v>7</v>
      </c>
      <c r="L138" s="2" t="s">
        <v>86</v>
      </c>
      <c r="M138" s="1" t="s">
        <v>1215</v>
      </c>
      <c r="N138" s="1" t="s">
        <v>1216</v>
      </c>
      <c r="O138" s="3">
        <v>3.0</v>
      </c>
      <c r="P138" s="1" t="s">
        <v>89</v>
      </c>
      <c r="Q138" s="2" t="s">
        <v>1217</v>
      </c>
      <c r="R138" s="1" t="s">
        <v>91</v>
      </c>
      <c r="S138" s="1" t="s">
        <v>1218</v>
      </c>
      <c r="T138" s="2" t="s">
        <v>1219</v>
      </c>
      <c r="U138" s="4" t="str">
        <f>IMAGE("https://drive.google.com/uc?id=1qVVm7k4tAajrqOwKe31BSyh8tKVv__eC")</f>
        <v/>
      </c>
      <c r="V138" s="1" t="s">
        <v>94</v>
      </c>
      <c r="W138" s="1" t="s">
        <v>6</v>
      </c>
      <c r="X138" s="1" t="s">
        <v>1220</v>
      </c>
    </row>
    <row r="139">
      <c r="A139" s="1" t="s">
        <v>1221</v>
      </c>
      <c r="B139" s="1" t="s">
        <v>5</v>
      </c>
      <c r="C139" s="1" t="s">
        <v>1222</v>
      </c>
      <c r="E139" s="1" t="s">
        <v>1223</v>
      </c>
      <c r="F139" s="1" t="b">
        <v>1</v>
      </c>
      <c r="G139" s="1" t="s">
        <v>49</v>
      </c>
      <c r="H139" s="1" t="s">
        <v>1224</v>
      </c>
      <c r="I139" s="1" t="s">
        <v>85</v>
      </c>
      <c r="J139" s="1" t="s">
        <v>1222</v>
      </c>
      <c r="K139" s="2" t="s">
        <v>7</v>
      </c>
      <c r="L139" s="2" t="s">
        <v>86</v>
      </c>
      <c r="M139" s="1" t="s">
        <v>1225</v>
      </c>
      <c r="N139" s="1" t="s">
        <v>1226</v>
      </c>
      <c r="O139" s="3">
        <v>4.0</v>
      </c>
      <c r="P139" s="1" t="s">
        <v>89</v>
      </c>
      <c r="Q139" s="2" t="s">
        <v>1227</v>
      </c>
      <c r="R139" s="1" t="s">
        <v>91</v>
      </c>
      <c r="S139" s="1" t="s">
        <v>1228</v>
      </c>
      <c r="T139" s="2" t="s">
        <v>1229</v>
      </c>
      <c r="U139" s="4" t="str">
        <f>IMAGE("https://drive.google.com/uc?id=1HGXQScckhfxJIdjdFQJhTMM3GxxtdfU9")</f>
        <v/>
      </c>
      <c r="V139" s="1" t="s">
        <v>94</v>
      </c>
      <c r="W139" s="1" t="s">
        <v>6</v>
      </c>
      <c r="X139" s="1" t="s">
        <v>1230</v>
      </c>
    </row>
    <row r="140">
      <c r="A140" s="1" t="s">
        <v>1231</v>
      </c>
      <c r="B140" s="1" t="s">
        <v>5</v>
      </c>
      <c r="C140" s="1" t="s">
        <v>1232</v>
      </c>
      <c r="E140" s="1" t="s">
        <v>1233</v>
      </c>
      <c r="F140" s="1" t="b">
        <v>1</v>
      </c>
      <c r="G140" s="1" t="s">
        <v>49</v>
      </c>
      <c r="H140" s="1" t="s">
        <v>1234</v>
      </c>
      <c r="I140" s="1" t="s">
        <v>85</v>
      </c>
      <c r="J140" s="1" t="s">
        <v>1232</v>
      </c>
      <c r="K140" s="2" t="s">
        <v>7</v>
      </c>
      <c r="L140" s="2" t="s">
        <v>86</v>
      </c>
      <c r="M140" s="1" t="s">
        <v>1235</v>
      </c>
      <c r="N140" s="1" t="s">
        <v>1236</v>
      </c>
      <c r="O140" s="3">
        <v>4.0</v>
      </c>
      <c r="P140" s="1" t="s">
        <v>89</v>
      </c>
      <c r="Q140" s="2" t="s">
        <v>1237</v>
      </c>
      <c r="R140" s="1" t="s">
        <v>91</v>
      </c>
      <c r="S140" s="1" t="s">
        <v>1238</v>
      </c>
      <c r="T140" s="2" t="s">
        <v>1239</v>
      </c>
      <c r="U140" s="4" t="str">
        <f>IMAGE("https://drive.google.com/uc?id=11uR4-giua9lyqE6fMVoVoses-m7LLSsH")</f>
        <v/>
      </c>
      <c r="V140" s="1" t="s">
        <v>94</v>
      </c>
      <c r="W140" s="1" t="s">
        <v>6</v>
      </c>
      <c r="X140" s="1" t="s">
        <v>1240</v>
      </c>
    </row>
    <row r="141">
      <c r="A141" s="1" t="s">
        <v>1241</v>
      </c>
      <c r="B141" s="1" t="s">
        <v>5</v>
      </c>
      <c r="C141" s="1" t="s">
        <v>1242</v>
      </c>
      <c r="E141" s="1" t="s">
        <v>1243</v>
      </c>
      <c r="F141" s="1" t="b">
        <v>1</v>
      </c>
      <c r="G141" s="1" t="s">
        <v>49</v>
      </c>
      <c r="H141" s="1" t="s">
        <v>1244</v>
      </c>
      <c r="I141" s="1" t="s">
        <v>85</v>
      </c>
      <c r="J141" s="1" t="s">
        <v>1242</v>
      </c>
      <c r="K141" s="2" t="s">
        <v>7</v>
      </c>
      <c r="L141" s="2" t="s">
        <v>86</v>
      </c>
      <c r="M141" s="1" t="s">
        <v>1245</v>
      </c>
      <c r="N141" s="1" t="s">
        <v>1246</v>
      </c>
      <c r="O141" s="3">
        <v>2.0</v>
      </c>
      <c r="P141" s="1" t="s">
        <v>89</v>
      </c>
      <c r="Q141" s="2" t="s">
        <v>1247</v>
      </c>
      <c r="R141" s="1" t="s">
        <v>91</v>
      </c>
      <c r="S141" s="1" t="s">
        <v>1248</v>
      </c>
      <c r="T141" s="2" t="s">
        <v>1249</v>
      </c>
      <c r="U141" s="4" t="str">
        <f>IMAGE("https://drive.google.com/uc?id=1_aqXtuUo8nDPKzaFAt7sTQPjQ0S-U3E4")</f>
        <v/>
      </c>
      <c r="V141" s="1" t="s">
        <v>94</v>
      </c>
      <c r="W141" s="1" t="s">
        <v>6</v>
      </c>
      <c r="X141" s="1" t="s">
        <v>1250</v>
      </c>
    </row>
    <row r="142">
      <c r="A142" s="1" t="s">
        <v>1251</v>
      </c>
      <c r="B142" s="1" t="s">
        <v>5</v>
      </c>
      <c r="C142" s="1" t="s">
        <v>1252</v>
      </c>
      <c r="E142" s="1" t="s">
        <v>1253</v>
      </c>
      <c r="F142" s="1" t="b">
        <v>1</v>
      </c>
      <c r="G142" s="1" t="s">
        <v>49</v>
      </c>
      <c r="H142" s="1" t="s">
        <v>1254</v>
      </c>
      <c r="I142" s="1" t="s">
        <v>85</v>
      </c>
      <c r="J142" s="1" t="s">
        <v>1252</v>
      </c>
      <c r="K142" s="2" t="s">
        <v>7</v>
      </c>
      <c r="L142" s="2" t="s">
        <v>86</v>
      </c>
      <c r="M142" s="1" t="s">
        <v>1255</v>
      </c>
      <c r="N142" s="1" t="s">
        <v>1256</v>
      </c>
      <c r="O142" s="3">
        <v>3.0</v>
      </c>
      <c r="P142" s="1" t="s">
        <v>89</v>
      </c>
      <c r="Q142" s="2" t="s">
        <v>1257</v>
      </c>
      <c r="R142" s="1" t="s">
        <v>91</v>
      </c>
      <c r="S142" s="1" t="s">
        <v>1258</v>
      </c>
      <c r="T142" s="2" t="s">
        <v>1259</v>
      </c>
      <c r="U142" s="4" t="str">
        <f>IMAGE("https://drive.google.com/uc?id=1ouMFxnQKWbyLQRuhrF7dLwGN7d4sssNv")</f>
        <v/>
      </c>
      <c r="V142" s="1" t="s">
        <v>94</v>
      </c>
      <c r="W142" s="1" t="s">
        <v>6</v>
      </c>
      <c r="X142" s="1" t="s">
        <v>1260</v>
      </c>
    </row>
    <row r="143">
      <c r="A143" s="1" t="s">
        <v>1261</v>
      </c>
      <c r="B143" s="1" t="s">
        <v>5</v>
      </c>
      <c r="C143" s="1" t="s">
        <v>1262</v>
      </c>
      <c r="E143" s="1" t="s">
        <v>1263</v>
      </c>
      <c r="F143" s="1" t="b">
        <v>1</v>
      </c>
      <c r="G143" s="1" t="s">
        <v>54</v>
      </c>
      <c r="H143" s="1" t="s">
        <v>1264</v>
      </c>
    </row>
    <row r="144">
      <c r="A144" s="1" t="s">
        <v>1265</v>
      </c>
      <c r="B144" s="1" t="s">
        <v>5</v>
      </c>
      <c r="C144" s="1" t="s">
        <v>1266</v>
      </c>
      <c r="E144" s="1" t="s">
        <v>1267</v>
      </c>
      <c r="F144" s="1" t="b">
        <v>1</v>
      </c>
      <c r="G144" s="1" t="s">
        <v>54</v>
      </c>
      <c r="H144" s="1" t="s">
        <v>1268</v>
      </c>
    </row>
    <row r="145">
      <c r="A145" s="1" t="s">
        <v>1269</v>
      </c>
      <c r="B145" s="1" t="s">
        <v>5</v>
      </c>
      <c r="C145" s="1" t="s">
        <v>1270</v>
      </c>
      <c r="E145" s="1" t="s">
        <v>1271</v>
      </c>
      <c r="F145" s="1" t="b">
        <v>1</v>
      </c>
      <c r="G145" s="1" t="s">
        <v>54</v>
      </c>
      <c r="H145" s="1" t="s">
        <v>1272</v>
      </c>
    </row>
    <row r="146">
      <c r="A146" s="1" t="s">
        <v>1273</v>
      </c>
      <c r="B146" s="1" t="s">
        <v>5</v>
      </c>
      <c r="C146" s="1" t="s">
        <v>1274</v>
      </c>
      <c r="E146" s="1" t="s">
        <v>1275</v>
      </c>
      <c r="F146" s="1" t="b">
        <v>1</v>
      </c>
      <c r="G146" s="1" t="s">
        <v>54</v>
      </c>
      <c r="H146" s="1" t="s">
        <v>1276</v>
      </c>
    </row>
    <row r="147">
      <c r="A147" s="1" t="s">
        <v>1277</v>
      </c>
      <c r="B147" s="1" t="s">
        <v>5</v>
      </c>
      <c r="C147" s="1" t="s">
        <v>1278</v>
      </c>
      <c r="E147" s="1" t="s">
        <v>1279</v>
      </c>
      <c r="F147" s="1" t="b">
        <v>1</v>
      </c>
      <c r="G147" s="1" t="s">
        <v>54</v>
      </c>
      <c r="H147" s="1" t="s">
        <v>1280</v>
      </c>
    </row>
    <row r="148">
      <c r="A148" s="1" t="s">
        <v>1281</v>
      </c>
      <c r="B148" s="1" t="s">
        <v>5</v>
      </c>
      <c r="C148" s="1" t="s">
        <v>1282</v>
      </c>
      <c r="E148" s="1" t="s">
        <v>1283</v>
      </c>
      <c r="F148" s="1" t="b">
        <v>1</v>
      </c>
      <c r="G148" s="1" t="s">
        <v>54</v>
      </c>
      <c r="H148" s="1" t="s">
        <v>1284</v>
      </c>
    </row>
    <row r="149">
      <c r="A149" s="1" t="s">
        <v>1285</v>
      </c>
      <c r="B149" s="1" t="s">
        <v>5</v>
      </c>
      <c r="C149" s="1" t="s">
        <v>1286</v>
      </c>
      <c r="E149" s="1" t="s">
        <v>1287</v>
      </c>
      <c r="F149" s="1" t="b">
        <v>1</v>
      </c>
      <c r="G149" s="1" t="s">
        <v>54</v>
      </c>
      <c r="H149" s="1" t="s">
        <v>1288</v>
      </c>
    </row>
    <row r="150">
      <c r="A150" s="1" t="s">
        <v>1289</v>
      </c>
      <c r="B150" s="1" t="s">
        <v>5</v>
      </c>
      <c r="C150" s="1" t="s">
        <v>1290</v>
      </c>
      <c r="E150" s="1" t="s">
        <v>1291</v>
      </c>
      <c r="F150" s="1" t="b">
        <v>1</v>
      </c>
      <c r="G150" s="1" t="s">
        <v>54</v>
      </c>
      <c r="H150" s="1" t="s">
        <v>1292</v>
      </c>
    </row>
    <row r="151">
      <c r="A151" s="1" t="s">
        <v>1293</v>
      </c>
      <c r="B151" s="1" t="s">
        <v>5</v>
      </c>
      <c r="C151" s="1" t="s">
        <v>1294</v>
      </c>
      <c r="E151" s="1" t="s">
        <v>1295</v>
      </c>
      <c r="F151" s="1" t="b">
        <v>1</v>
      </c>
      <c r="G151" s="1" t="s">
        <v>54</v>
      </c>
      <c r="H151" s="1" t="s">
        <v>1296</v>
      </c>
    </row>
    <row r="152">
      <c r="A152" s="1" t="s">
        <v>1297</v>
      </c>
      <c r="B152" s="1" t="s">
        <v>17</v>
      </c>
      <c r="C152" s="1" t="s">
        <v>1298</v>
      </c>
      <c r="E152" s="1" t="s">
        <v>1299</v>
      </c>
      <c r="F152" s="1" t="b">
        <v>1</v>
      </c>
      <c r="G152" s="1" t="s">
        <v>54</v>
      </c>
      <c r="H152" s="1" t="s">
        <v>1300</v>
      </c>
    </row>
    <row r="153">
      <c r="A153" s="1" t="s">
        <v>1301</v>
      </c>
      <c r="B153" s="1" t="s">
        <v>17</v>
      </c>
      <c r="C153" s="1" t="s">
        <v>1302</v>
      </c>
      <c r="E153" s="1" t="s">
        <v>1303</v>
      </c>
      <c r="F153" s="1" t="b">
        <v>1</v>
      </c>
      <c r="G153" s="1" t="s">
        <v>54</v>
      </c>
      <c r="H153" s="1" t="s">
        <v>1304</v>
      </c>
    </row>
    <row r="154">
      <c r="A154" s="1" t="s">
        <v>1305</v>
      </c>
      <c r="B154" s="1" t="s">
        <v>17</v>
      </c>
      <c r="C154" s="1" t="s">
        <v>1306</v>
      </c>
      <c r="E154" s="1" t="s">
        <v>1307</v>
      </c>
      <c r="F154" s="1" t="b">
        <v>1</v>
      </c>
      <c r="G154" s="1" t="s">
        <v>54</v>
      </c>
      <c r="H154" s="1" t="s">
        <v>1308</v>
      </c>
    </row>
    <row r="155">
      <c r="A155" s="1" t="s">
        <v>1309</v>
      </c>
      <c r="B155" s="1" t="s">
        <v>17</v>
      </c>
      <c r="C155" s="1" t="s">
        <v>1310</v>
      </c>
      <c r="E155" s="1" t="s">
        <v>1311</v>
      </c>
      <c r="F155" s="1" t="b">
        <v>1</v>
      </c>
      <c r="G155" s="1" t="s">
        <v>54</v>
      </c>
      <c r="H155" s="1" t="s">
        <v>1312</v>
      </c>
    </row>
    <row r="156">
      <c r="A156" s="1" t="s">
        <v>1313</v>
      </c>
      <c r="B156" s="1" t="s">
        <v>17</v>
      </c>
      <c r="C156" s="1" t="s">
        <v>1314</v>
      </c>
      <c r="E156" s="1" t="s">
        <v>1315</v>
      </c>
      <c r="F156" s="1" t="b">
        <v>1</v>
      </c>
      <c r="G156" s="1" t="s">
        <v>54</v>
      </c>
      <c r="H156" s="1" t="s">
        <v>1316</v>
      </c>
    </row>
    <row r="157">
      <c r="A157" s="1" t="s">
        <v>1317</v>
      </c>
      <c r="B157" s="1" t="s">
        <v>13</v>
      </c>
      <c r="C157" s="1" t="s">
        <v>1128</v>
      </c>
      <c r="E157" s="1" t="s">
        <v>1318</v>
      </c>
      <c r="F157" s="1" t="b">
        <v>1</v>
      </c>
      <c r="G157" s="1" t="s">
        <v>54</v>
      </c>
      <c r="H157" s="1" t="s">
        <v>1319</v>
      </c>
    </row>
    <row r="158">
      <c r="A158" s="1" t="s">
        <v>1320</v>
      </c>
      <c r="B158" s="1" t="s">
        <v>13</v>
      </c>
      <c r="C158" s="1" t="s">
        <v>1321</v>
      </c>
      <c r="E158" s="1" t="s">
        <v>1322</v>
      </c>
      <c r="F158" s="1" t="b">
        <v>1</v>
      </c>
      <c r="G158" s="1" t="s">
        <v>54</v>
      </c>
      <c r="H158" s="1" t="s">
        <v>1323</v>
      </c>
    </row>
    <row r="159">
      <c r="A159" s="1" t="s">
        <v>1324</v>
      </c>
      <c r="B159" s="1" t="s">
        <v>13</v>
      </c>
      <c r="C159" s="1" t="s">
        <v>1325</v>
      </c>
      <c r="E159" s="1" t="s">
        <v>1326</v>
      </c>
      <c r="F159" s="1" t="b">
        <v>1</v>
      </c>
      <c r="G159" s="1" t="s">
        <v>54</v>
      </c>
      <c r="H159" s="1" t="s">
        <v>1327</v>
      </c>
    </row>
    <row r="160">
      <c r="A160" s="1" t="s">
        <v>1328</v>
      </c>
      <c r="B160" s="1" t="s">
        <v>13</v>
      </c>
      <c r="C160" s="1" t="s">
        <v>1329</v>
      </c>
      <c r="E160" s="1" t="s">
        <v>1330</v>
      </c>
      <c r="F160" s="1" t="b">
        <v>1</v>
      </c>
      <c r="G160" s="1" t="s">
        <v>54</v>
      </c>
      <c r="H160" s="1" t="s">
        <v>1331</v>
      </c>
    </row>
    <row r="161">
      <c r="A161" s="1" t="s">
        <v>1332</v>
      </c>
      <c r="B161" s="1" t="s">
        <v>13</v>
      </c>
      <c r="C161" s="1" t="s">
        <v>1333</v>
      </c>
      <c r="E161" s="1" t="s">
        <v>1334</v>
      </c>
      <c r="F161" s="1" t="b">
        <v>1</v>
      </c>
      <c r="G161" s="1" t="s">
        <v>54</v>
      </c>
      <c r="H161" s="1" t="s">
        <v>1335</v>
      </c>
    </row>
    <row r="162">
      <c r="A162" s="1" t="s">
        <v>1336</v>
      </c>
      <c r="B162" s="1" t="s">
        <v>13</v>
      </c>
      <c r="C162" s="1" t="s">
        <v>1337</v>
      </c>
      <c r="E162" s="1" t="s">
        <v>1338</v>
      </c>
      <c r="F162" s="1" t="b">
        <v>1</v>
      </c>
      <c r="G162" s="1" t="s">
        <v>54</v>
      </c>
      <c r="H162" s="1" t="s">
        <v>1339</v>
      </c>
    </row>
    <row r="163">
      <c r="A163" s="1" t="s">
        <v>1340</v>
      </c>
      <c r="B163" s="1" t="s">
        <v>13</v>
      </c>
      <c r="C163" s="1" t="s">
        <v>1341</v>
      </c>
      <c r="E163" s="5" t="s">
        <v>1342</v>
      </c>
      <c r="F163" s="1" t="b">
        <v>1</v>
      </c>
      <c r="G163" s="1" t="s">
        <v>54</v>
      </c>
      <c r="H163" s="1" t="s">
        <v>1343</v>
      </c>
    </row>
    <row r="164">
      <c r="A164" s="1" t="s">
        <v>1344</v>
      </c>
      <c r="B164" s="1" t="s">
        <v>13</v>
      </c>
      <c r="C164" s="1" t="s">
        <v>1345</v>
      </c>
      <c r="E164" s="5" t="s">
        <v>1346</v>
      </c>
      <c r="F164" s="1" t="b">
        <v>1</v>
      </c>
      <c r="G164" s="1" t="s">
        <v>54</v>
      </c>
      <c r="H164" s="1" t="s">
        <v>1347</v>
      </c>
    </row>
    <row r="165">
      <c r="A165" s="1" t="s">
        <v>1348</v>
      </c>
      <c r="B165" s="1" t="s">
        <v>9</v>
      </c>
      <c r="C165" s="1" t="s">
        <v>1349</v>
      </c>
      <c r="E165" s="1" t="s">
        <v>1350</v>
      </c>
      <c r="F165" s="1" t="b">
        <v>1</v>
      </c>
      <c r="G165" s="1" t="s">
        <v>54</v>
      </c>
      <c r="H165" s="1" t="s">
        <v>1351</v>
      </c>
    </row>
    <row r="166">
      <c r="A166" s="1" t="s">
        <v>1352</v>
      </c>
      <c r="B166" s="1" t="s">
        <v>9</v>
      </c>
      <c r="C166" s="1" t="s">
        <v>1353</v>
      </c>
      <c r="E166" s="1" t="s">
        <v>1354</v>
      </c>
      <c r="F166" s="1" t="b">
        <v>1</v>
      </c>
      <c r="G166" s="1" t="s">
        <v>54</v>
      </c>
      <c r="H166" s="1" t="s">
        <v>1355</v>
      </c>
    </row>
    <row r="167">
      <c r="A167" s="1" t="s">
        <v>1356</v>
      </c>
      <c r="B167" s="1" t="s">
        <v>9</v>
      </c>
      <c r="C167" s="1" t="s">
        <v>1357</v>
      </c>
      <c r="E167" s="1" t="s">
        <v>1358</v>
      </c>
      <c r="F167" s="1" t="b">
        <v>1</v>
      </c>
      <c r="G167" s="1" t="s">
        <v>54</v>
      </c>
      <c r="H167" s="1" t="s">
        <v>1359</v>
      </c>
    </row>
    <row r="168">
      <c r="A168" s="1" t="s">
        <v>1360</v>
      </c>
      <c r="B168" s="1" t="s">
        <v>9</v>
      </c>
      <c r="C168" s="1" t="s">
        <v>1361</v>
      </c>
      <c r="E168" s="5" t="s">
        <v>1362</v>
      </c>
      <c r="F168" s="1" t="b">
        <v>1</v>
      </c>
      <c r="G168" s="1" t="s">
        <v>54</v>
      </c>
      <c r="H168" s="1" t="s">
        <v>1363</v>
      </c>
    </row>
    <row r="169">
      <c r="A169" s="1" t="s">
        <v>1364</v>
      </c>
      <c r="B169" s="1" t="s">
        <v>9</v>
      </c>
      <c r="C169" s="1" t="s">
        <v>1365</v>
      </c>
      <c r="E169" s="1" t="s">
        <v>1366</v>
      </c>
      <c r="F169" s="1" t="b">
        <v>1</v>
      </c>
      <c r="G169" s="1" t="s">
        <v>54</v>
      </c>
      <c r="H169" s="1" t="s">
        <v>1367</v>
      </c>
    </row>
    <row r="170">
      <c r="A170" s="1" t="s">
        <v>1368</v>
      </c>
      <c r="B170" s="1" t="s">
        <v>9</v>
      </c>
      <c r="C170" s="1" t="s">
        <v>1369</v>
      </c>
      <c r="E170" s="1" t="s">
        <v>1370</v>
      </c>
      <c r="F170" s="1" t="b">
        <v>1</v>
      </c>
      <c r="G170" s="1" t="s">
        <v>54</v>
      </c>
      <c r="H170" s="1" t="s">
        <v>1371</v>
      </c>
    </row>
    <row r="171">
      <c r="A171" s="1" t="s">
        <v>1372</v>
      </c>
      <c r="B171" s="1" t="s">
        <v>9</v>
      </c>
      <c r="C171" s="1" t="s">
        <v>1373</v>
      </c>
      <c r="E171" s="1" t="s">
        <v>1374</v>
      </c>
      <c r="F171" s="1" t="b">
        <v>1</v>
      </c>
      <c r="G171" s="1" t="s">
        <v>54</v>
      </c>
      <c r="H171" s="1" t="s">
        <v>1375</v>
      </c>
    </row>
    <row r="172">
      <c r="A172" s="1" t="s">
        <v>1376</v>
      </c>
      <c r="B172" s="1" t="s">
        <v>9</v>
      </c>
      <c r="C172" s="1" t="s">
        <v>1377</v>
      </c>
      <c r="E172" s="1" t="s">
        <v>1378</v>
      </c>
      <c r="F172" s="1" t="b">
        <v>1</v>
      </c>
      <c r="G172" s="1" t="s">
        <v>54</v>
      </c>
      <c r="H172" s="1" t="s">
        <v>1379</v>
      </c>
    </row>
    <row r="173">
      <c r="A173" s="1" t="s">
        <v>1380</v>
      </c>
      <c r="B173" s="1" t="s">
        <v>9</v>
      </c>
      <c r="C173" s="1" t="s">
        <v>1381</v>
      </c>
      <c r="E173" s="1" t="s">
        <v>1382</v>
      </c>
      <c r="F173" s="1" t="b">
        <v>1</v>
      </c>
      <c r="G173" s="1" t="s">
        <v>54</v>
      </c>
      <c r="H173" s="1" t="s">
        <v>1383</v>
      </c>
    </row>
    <row r="174">
      <c r="A174" s="1" t="s">
        <v>1384</v>
      </c>
      <c r="B174" s="1" t="s">
        <v>21</v>
      </c>
      <c r="C174" s="1" t="s">
        <v>1385</v>
      </c>
      <c r="E174" s="1" t="s">
        <v>1386</v>
      </c>
      <c r="F174" s="1" t="b">
        <v>1</v>
      </c>
      <c r="G174" s="1" t="s">
        <v>54</v>
      </c>
      <c r="H174" s="1" t="s">
        <v>1387</v>
      </c>
    </row>
    <row r="175">
      <c r="A175" s="1" t="s">
        <v>1388</v>
      </c>
      <c r="B175" s="1" t="s">
        <v>21</v>
      </c>
      <c r="C175" s="1" t="s">
        <v>1389</v>
      </c>
      <c r="E175" s="5" t="s">
        <v>1390</v>
      </c>
      <c r="F175" s="1" t="b">
        <v>1</v>
      </c>
      <c r="G175" s="1" t="s">
        <v>54</v>
      </c>
      <c r="H175" s="1" t="s">
        <v>1391</v>
      </c>
    </row>
    <row r="176">
      <c r="A176" s="1" t="s">
        <v>1392</v>
      </c>
      <c r="B176" s="1" t="s">
        <v>21</v>
      </c>
      <c r="C176" s="1" t="s">
        <v>1393</v>
      </c>
      <c r="E176" s="1" t="s">
        <v>1394</v>
      </c>
      <c r="F176" s="1" t="b">
        <v>1</v>
      </c>
      <c r="G176" s="1" t="s">
        <v>54</v>
      </c>
      <c r="H176" s="1" t="s">
        <v>1395</v>
      </c>
    </row>
    <row r="177">
      <c r="A177" s="1" t="s">
        <v>1396</v>
      </c>
      <c r="B177" s="1" t="s">
        <v>21</v>
      </c>
      <c r="C177" s="1" t="s">
        <v>1397</v>
      </c>
      <c r="E177" s="5" t="s">
        <v>1398</v>
      </c>
      <c r="F177" s="1" t="b">
        <v>1</v>
      </c>
      <c r="G177" s="1" t="s">
        <v>54</v>
      </c>
      <c r="H177" s="1" t="s">
        <v>1399</v>
      </c>
    </row>
    <row r="178">
      <c r="A178" s="1" t="s">
        <v>1400</v>
      </c>
      <c r="B178" s="1" t="s">
        <v>21</v>
      </c>
      <c r="C178" s="1" t="s">
        <v>1401</v>
      </c>
      <c r="E178" s="1" t="s">
        <v>1402</v>
      </c>
      <c r="F178" s="1" t="b">
        <v>1</v>
      </c>
      <c r="G178" s="1" t="s">
        <v>54</v>
      </c>
      <c r="H178" s="1" t="s">
        <v>1403</v>
      </c>
    </row>
    <row r="179">
      <c r="A179" s="1" t="s">
        <v>1404</v>
      </c>
      <c r="B179" s="1" t="s">
        <v>21</v>
      </c>
      <c r="C179" s="1" t="s">
        <v>1405</v>
      </c>
      <c r="E179" s="1" t="s">
        <v>1406</v>
      </c>
      <c r="F179" s="1" t="b">
        <v>1</v>
      </c>
      <c r="G179" s="1" t="s">
        <v>54</v>
      </c>
      <c r="H179" s="1" t="s">
        <v>1407</v>
      </c>
    </row>
    <row r="180">
      <c r="A180" s="1" t="s">
        <v>1408</v>
      </c>
      <c r="B180" s="1" t="s">
        <v>21</v>
      </c>
      <c r="C180" s="1" t="s">
        <v>1409</v>
      </c>
      <c r="E180" s="1" t="s">
        <v>1410</v>
      </c>
      <c r="F180" s="1" t="b">
        <v>1</v>
      </c>
      <c r="G180" s="1" t="s">
        <v>54</v>
      </c>
      <c r="H180" s="1" t="s">
        <v>1411</v>
      </c>
    </row>
    <row r="181">
      <c r="A181" s="1" t="s">
        <v>1412</v>
      </c>
      <c r="B181" s="1" t="s">
        <v>21</v>
      </c>
      <c r="C181" s="1" t="s">
        <v>1413</v>
      </c>
      <c r="E181" s="1" t="s">
        <v>1414</v>
      </c>
      <c r="F181" s="1" t="b">
        <v>1</v>
      </c>
      <c r="G181" s="1" t="s">
        <v>54</v>
      </c>
      <c r="H181" s="1" t="s">
        <v>1415</v>
      </c>
    </row>
  </sheetData>
  <hyperlinks>
    <hyperlink r:id="rId1" ref="K10"/>
    <hyperlink r:id="rId2" ref="L10"/>
    <hyperlink r:id="rId3" ref="Q10"/>
    <hyperlink r:id="rId4" ref="T10"/>
    <hyperlink r:id="rId5" ref="K20"/>
    <hyperlink r:id="rId6" ref="L20"/>
    <hyperlink r:id="rId7" ref="Q20"/>
    <hyperlink r:id="rId8" ref="T20"/>
    <hyperlink r:id="rId9" ref="K21"/>
    <hyperlink r:id="rId10" ref="L21"/>
    <hyperlink r:id="rId11" ref="Q21"/>
    <hyperlink r:id="rId12" ref="T21"/>
    <hyperlink r:id="rId13" ref="T22"/>
    <hyperlink r:id="rId14" ref="K23"/>
    <hyperlink r:id="rId15" ref="L23"/>
    <hyperlink r:id="rId16" ref="Q23"/>
    <hyperlink r:id="rId17" ref="T23"/>
    <hyperlink r:id="rId18" ref="K24"/>
    <hyperlink r:id="rId19" ref="L24"/>
    <hyperlink r:id="rId20" ref="Q24"/>
    <hyperlink r:id="rId21" ref="T24"/>
    <hyperlink r:id="rId22" ref="K25"/>
    <hyperlink r:id="rId23" ref="L25"/>
    <hyperlink r:id="rId24" ref="Q25"/>
    <hyperlink r:id="rId25" ref="T25"/>
    <hyperlink r:id="rId26" ref="K26"/>
    <hyperlink r:id="rId27" ref="L26"/>
    <hyperlink r:id="rId28" ref="Q26"/>
    <hyperlink r:id="rId29" ref="T26"/>
    <hyperlink r:id="rId30" ref="K27"/>
    <hyperlink r:id="rId31" ref="L27"/>
    <hyperlink r:id="rId32" ref="Q27"/>
    <hyperlink r:id="rId33" ref="T27"/>
    <hyperlink r:id="rId34" ref="K28"/>
    <hyperlink r:id="rId35" ref="L28"/>
    <hyperlink r:id="rId36" ref="Q28"/>
    <hyperlink r:id="rId37" ref="T28"/>
    <hyperlink r:id="rId38" ref="K29"/>
    <hyperlink r:id="rId39" ref="L29"/>
    <hyperlink r:id="rId40" ref="Q29"/>
    <hyperlink r:id="rId41" ref="T29"/>
    <hyperlink r:id="rId42" ref="K30"/>
    <hyperlink r:id="rId43" ref="L30"/>
    <hyperlink r:id="rId44" ref="Q30"/>
    <hyperlink r:id="rId45" ref="T30"/>
    <hyperlink r:id="rId46" ref="K31"/>
    <hyperlink r:id="rId47" ref="L31"/>
    <hyperlink r:id="rId48" ref="Q31"/>
    <hyperlink r:id="rId49" ref="T31"/>
    <hyperlink r:id="rId50" ref="K32"/>
    <hyperlink r:id="rId51" ref="L32"/>
    <hyperlink r:id="rId52" ref="Q32"/>
    <hyperlink r:id="rId53" ref="T32"/>
    <hyperlink r:id="rId54" ref="K33"/>
    <hyperlink r:id="rId55" ref="L33"/>
    <hyperlink r:id="rId56" ref="Q33"/>
    <hyperlink r:id="rId57" ref="T33"/>
    <hyperlink r:id="rId58" ref="K34"/>
    <hyperlink r:id="rId59" ref="L34"/>
    <hyperlink r:id="rId60" ref="Q34"/>
    <hyperlink r:id="rId61" ref="T34"/>
    <hyperlink r:id="rId62" ref="K35"/>
    <hyperlink r:id="rId63" ref="L35"/>
    <hyperlink r:id="rId64" ref="Q35"/>
    <hyperlink r:id="rId65" ref="T35"/>
    <hyperlink r:id="rId66" ref="K36"/>
    <hyperlink r:id="rId67" ref="L36"/>
    <hyperlink r:id="rId68" ref="Q36"/>
    <hyperlink r:id="rId69" ref="T36"/>
    <hyperlink r:id="rId70" ref="K37"/>
    <hyperlink r:id="rId71" ref="L37"/>
    <hyperlink r:id="rId72" ref="Q37"/>
    <hyperlink r:id="rId73" ref="T37"/>
    <hyperlink r:id="rId74" ref="K38"/>
    <hyperlink r:id="rId75" ref="L38"/>
    <hyperlink r:id="rId76" ref="Q38"/>
    <hyperlink r:id="rId77" ref="T38"/>
    <hyperlink r:id="rId78" ref="K39"/>
    <hyperlink r:id="rId79" ref="L39"/>
    <hyperlink r:id="rId80" ref="Q39"/>
    <hyperlink r:id="rId81" ref="T39"/>
    <hyperlink r:id="rId82" ref="K40"/>
    <hyperlink r:id="rId83" ref="L40"/>
    <hyperlink r:id="rId84" ref="Q40"/>
    <hyperlink r:id="rId85" ref="T40"/>
    <hyperlink r:id="rId86" ref="K42"/>
    <hyperlink r:id="rId87" ref="L42"/>
    <hyperlink r:id="rId88" ref="Q42"/>
    <hyperlink r:id="rId89" ref="T42"/>
    <hyperlink r:id="rId90" ref="K44"/>
    <hyperlink r:id="rId91" ref="L44"/>
    <hyperlink r:id="rId92" ref="Q44"/>
    <hyperlink r:id="rId93" ref="T44"/>
    <hyperlink r:id="rId94" ref="K45"/>
    <hyperlink r:id="rId95" ref="L45"/>
    <hyperlink r:id="rId96" ref="Q45"/>
    <hyperlink r:id="rId97" ref="T45"/>
    <hyperlink r:id="rId98" ref="K46"/>
    <hyperlink r:id="rId99" ref="L46"/>
    <hyperlink r:id="rId100" ref="Q46"/>
    <hyperlink r:id="rId101" ref="T46"/>
    <hyperlink r:id="rId102" ref="K47"/>
    <hyperlink r:id="rId103" ref="L47"/>
    <hyperlink r:id="rId104" ref="Q47"/>
    <hyperlink r:id="rId105" ref="T47"/>
    <hyperlink r:id="rId106" ref="K48"/>
    <hyperlink r:id="rId107" ref="L48"/>
    <hyperlink r:id="rId108" ref="Q48"/>
    <hyperlink r:id="rId109" ref="T48"/>
    <hyperlink r:id="rId110" ref="K49"/>
    <hyperlink r:id="rId111" ref="L49"/>
    <hyperlink r:id="rId112" ref="Q49"/>
    <hyperlink r:id="rId113" ref="T49"/>
    <hyperlink r:id="rId114" ref="K50"/>
    <hyperlink r:id="rId115" ref="L50"/>
    <hyperlink r:id="rId116" ref="Q50"/>
    <hyperlink r:id="rId117" ref="T50"/>
    <hyperlink r:id="rId118" ref="K51"/>
    <hyperlink r:id="rId119" ref="L51"/>
    <hyperlink r:id="rId120" ref="Q51"/>
    <hyperlink r:id="rId121" ref="T51"/>
    <hyperlink r:id="rId122" ref="K52"/>
    <hyperlink r:id="rId123" ref="L52"/>
    <hyperlink r:id="rId124" ref="Q52"/>
    <hyperlink r:id="rId125" ref="T52"/>
    <hyperlink r:id="rId126" ref="K53"/>
    <hyperlink r:id="rId127" ref="L53"/>
    <hyperlink r:id="rId128" ref="Q53"/>
    <hyperlink r:id="rId129" ref="T53"/>
    <hyperlink r:id="rId130" ref="K55"/>
    <hyperlink r:id="rId131" ref="L55"/>
    <hyperlink r:id="rId132" ref="Q55"/>
    <hyperlink r:id="rId133" ref="T55"/>
    <hyperlink r:id="rId134" ref="K56"/>
    <hyperlink r:id="rId135" ref="L56"/>
    <hyperlink r:id="rId136" ref="Q56"/>
    <hyperlink r:id="rId137" ref="T56"/>
    <hyperlink r:id="rId138" ref="K57"/>
    <hyperlink r:id="rId139" ref="L57"/>
    <hyperlink r:id="rId140" ref="Q57"/>
    <hyperlink r:id="rId141" ref="T57"/>
    <hyperlink r:id="rId142" ref="K58"/>
    <hyperlink r:id="rId143" ref="L58"/>
    <hyperlink r:id="rId144" ref="Q58"/>
    <hyperlink r:id="rId145" ref="T58"/>
    <hyperlink r:id="rId146" ref="K59"/>
    <hyperlink r:id="rId147" ref="L59"/>
    <hyperlink r:id="rId148" ref="Q59"/>
    <hyperlink r:id="rId149" ref="T59"/>
    <hyperlink r:id="rId150" ref="K60"/>
    <hyperlink r:id="rId151" ref="L60"/>
    <hyperlink r:id="rId152" ref="Q60"/>
    <hyperlink r:id="rId153" ref="T60"/>
    <hyperlink r:id="rId154" ref="K61"/>
    <hyperlink r:id="rId155" ref="L61"/>
    <hyperlink r:id="rId156" ref="Q61"/>
    <hyperlink r:id="rId157" ref="T61"/>
    <hyperlink r:id="rId158" ref="K62"/>
    <hyperlink r:id="rId159" ref="L62"/>
    <hyperlink r:id="rId160" ref="Q62"/>
    <hyperlink r:id="rId161" ref="T62"/>
    <hyperlink r:id="rId162" ref="K64"/>
    <hyperlink r:id="rId163" ref="L64"/>
    <hyperlink r:id="rId164" ref="Q64"/>
    <hyperlink r:id="rId165" ref="T64"/>
    <hyperlink r:id="rId166" ref="K65"/>
    <hyperlink r:id="rId167" ref="L65"/>
    <hyperlink r:id="rId168" ref="Q65"/>
    <hyperlink r:id="rId169" ref="T65"/>
    <hyperlink r:id="rId170" ref="K66"/>
    <hyperlink r:id="rId171" ref="L66"/>
    <hyperlink r:id="rId172" ref="Q66"/>
    <hyperlink r:id="rId173" ref="T66"/>
    <hyperlink r:id="rId174" ref="K67"/>
    <hyperlink r:id="rId175" ref="L67"/>
    <hyperlink r:id="rId176" ref="Q67"/>
    <hyperlink r:id="rId177" ref="T67"/>
    <hyperlink r:id="rId178" ref="K68"/>
    <hyperlink r:id="rId179" ref="L68"/>
    <hyperlink r:id="rId180" ref="Q68"/>
    <hyperlink r:id="rId181" ref="T68"/>
    <hyperlink r:id="rId182" ref="K69"/>
    <hyperlink r:id="rId183" ref="L69"/>
    <hyperlink r:id="rId184" ref="Q69"/>
    <hyperlink r:id="rId185" ref="T69"/>
    <hyperlink r:id="rId186" ref="K70"/>
    <hyperlink r:id="rId187" ref="L70"/>
    <hyperlink r:id="rId188" ref="Q70"/>
    <hyperlink r:id="rId189" ref="T70"/>
    <hyperlink r:id="rId190" ref="K71"/>
    <hyperlink r:id="rId191" ref="L71"/>
    <hyperlink r:id="rId192" ref="Q71"/>
    <hyperlink r:id="rId193" ref="T71"/>
    <hyperlink r:id="rId194" ref="K72"/>
    <hyperlink r:id="rId195" ref="L72"/>
    <hyperlink r:id="rId196" ref="Q72"/>
    <hyperlink r:id="rId197" ref="T72"/>
    <hyperlink r:id="rId198" ref="K73"/>
    <hyperlink r:id="rId199" ref="L73"/>
    <hyperlink r:id="rId200" ref="Q73"/>
    <hyperlink r:id="rId201" ref="T73"/>
    <hyperlink r:id="rId202" ref="K74"/>
    <hyperlink r:id="rId203" ref="L74"/>
    <hyperlink r:id="rId204" ref="Q74"/>
    <hyperlink r:id="rId205" ref="T74"/>
    <hyperlink r:id="rId206" ref="K75"/>
    <hyperlink r:id="rId207" ref="L75"/>
    <hyperlink r:id="rId208" ref="Q75"/>
    <hyperlink r:id="rId209" ref="T75"/>
    <hyperlink r:id="rId210" ref="K76"/>
    <hyperlink r:id="rId211" ref="L76"/>
    <hyperlink r:id="rId212" ref="Q76"/>
    <hyperlink r:id="rId213" ref="T76"/>
    <hyperlink r:id="rId214" ref="K77"/>
    <hyperlink r:id="rId215" ref="L77"/>
    <hyperlink r:id="rId216" ref="Q77"/>
    <hyperlink r:id="rId217" ref="T77"/>
    <hyperlink r:id="rId218" ref="K78"/>
    <hyperlink r:id="rId219" ref="L78"/>
    <hyperlink r:id="rId220" ref="Q78"/>
    <hyperlink r:id="rId221" ref="T78"/>
    <hyperlink r:id="rId222" ref="K79"/>
    <hyperlink r:id="rId223" ref="L79"/>
    <hyperlink r:id="rId224" ref="Q79"/>
    <hyperlink r:id="rId225" ref="T79"/>
    <hyperlink r:id="rId226" ref="K80"/>
    <hyperlink r:id="rId227" ref="L80"/>
    <hyperlink r:id="rId228" ref="Q80"/>
    <hyperlink r:id="rId229" ref="T80"/>
    <hyperlink r:id="rId230" ref="K81"/>
    <hyperlink r:id="rId231" ref="L81"/>
    <hyperlink r:id="rId232" ref="Q81"/>
    <hyperlink r:id="rId233" ref="T81"/>
    <hyperlink r:id="rId234" ref="K82"/>
    <hyperlink r:id="rId235" ref="L82"/>
    <hyperlink r:id="rId236" ref="Q82"/>
    <hyperlink r:id="rId237" ref="T82"/>
    <hyperlink r:id="rId238" ref="K84"/>
    <hyperlink r:id="rId239" ref="L84"/>
    <hyperlink r:id="rId240" ref="Q84"/>
    <hyperlink r:id="rId241" ref="T84"/>
    <hyperlink r:id="rId242" ref="K85"/>
    <hyperlink r:id="rId243" ref="L85"/>
    <hyperlink r:id="rId244" ref="Q85"/>
    <hyperlink r:id="rId245" ref="T85"/>
    <hyperlink r:id="rId246" ref="K86"/>
    <hyperlink r:id="rId247" ref="L86"/>
    <hyperlink r:id="rId248" ref="Q86"/>
    <hyperlink r:id="rId249" ref="T86"/>
    <hyperlink r:id="rId250" ref="K87"/>
    <hyperlink r:id="rId251" ref="L87"/>
    <hyperlink r:id="rId252" ref="Q87"/>
    <hyperlink r:id="rId253" ref="T87"/>
    <hyperlink r:id="rId254" ref="K88"/>
    <hyperlink r:id="rId255" ref="L88"/>
    <hyperlink r:id="rId256" ref="Q88"/>
    <hyperlink r:id="rId257" ref="T88"/>
    <hyperlink r:id="rId258" ref="K89"/>
    <hyperlink r:id="rId259" ref="L89"/>
    <hyperlink r:id="rId260" ref="Q89"/>
    <hyperlink r:id="rId261" ref="T89"/>
    <hyperlink r:id="rId262" ref="K90"/>
    <hyperlink r:id="rId263" ref="L90"/>
    <hyperlink r:id="rId264" ref="Q90"/>
    <hyperlink r:id="rId265" ref="T90"/>
    <hyperlink r:id="rId266" ref="K91"/>
    <hyperlink r:id="rId267" ref="L91"/>
    <hyperlink r:id="rId268" ref="Q91"/>
    <hyperlink r:id="rId269" ref="T91"/>
    <hyperlink r:id="rId270" ref="K93"/>
    <hyperlink r:id="rId271" ref="L93"/>
    <hyperlink r:id="rId272" ref="Q93"/>
    <hyperlink r:id="rId273" ref="T93"/>
    <hyperlink r:id="rId274" ref="K94"/>
    <hyperlink r:id="rId275" ref="L94"/>
    <hyperlink r:id="rId276" ref="Q94"/>
    <hyperlink r:id="rId277" ref="T94"/>
    <hyperlink r:id="rId278" ref="K95"/>
    <hyperlink r:id="rId279" ref="L95"/>
    <hyperlink r:id="rId280" ref="Q95"/>
    <hyperlink r:id="rId281" ref="T95"/>
    <hyperlink r:id="rId282" ref="K96"/>
    <hyperlink r:id="rId283" ref="L96"/>
    <hyperlink r:id="rId284" ref="Q96"/>
    <hyperlink r:id="rId285" ref="T96"/>
    <hyperlink r:id="rId286" ref="K97"/>
    <hyperlink r:id="rId287" ref="L97"/>
    <hyperlink r:id="rId288" ref="Q97"/>
    <hyperlink r:id="rId289" ref="T97"/>
    <hyperlink r:id="rId290" ref="K99"/>
    <hyperlink r:id="rId291" ref="L99"/>
    <hyperlink r:id="rId292" ref="Q99"/>
    <hyperlink r:id="rId293" ref="T99"/>
    <hyperlink r:id="rId294" ref="K100"/>
    <hyperlink r:id="rId295" ref="L100"/>
    <hyperlink r:id="rId296" ref="Q100"/>
    <hyperlink r:id="rId297" ref="T100"/>
    <hyperlink r:id="rId298" ref="K101"/>
    <hyperlink r:id="rId299" ref="L101"/>
    <hyperlink r:id="rId300" ref="Q101"/>
    <hyperlink r:id="rId301" ref="T101"/>
    <hyperlink r:id="rId302" ref="K103"/>
    <hyperlink r:id="rId303" ref="L103"/>
    <hyperlink r:id="rId304" ref="Q103"/>
    <hyperlink r:id="rId305" ref="T103"/>
    <hyperlink r:id="rId306" ref="K104"/>
    <hyperlink r:id="rId307" ref="L104"/>
    <hyperlink r:id="rId308" ref="Q104"/>
    <hyperlink r:id="rId309" ref="T104"/>
    <hyperlink r:id="rId310" ref="K105"/>
    <hyperlink r:id="rId311" ref="L105"/>
    <hyperlink r:id="rId312" ref="Q105"/>
    <hyperlink r:id="rId313" ref="T105"/>
    <hyperlink r:id="rId314" ref="K107"/>
    <hyperlink r:id="rId315" ref="L107"/>
    <hyperlink r:id="rId316" ref="Q107"/>
    <hyperlink r:id="rId317" ref="T107"/>
    <hyperlink r:id="rId318" ref="K108"/>
    <hyperlink r:id="rId319" ref="L108"/>
    <hyperlink r:id="rId320" ref="Q108"/>
    <hyperlink r:id="rId321" ref="T108"/>
    <hyperlink r:id="rId322" ref="K109"/>
    <hyperlink r:id="rId323" ref="L109"/>
    <hyperlink r:id="rId324" ref="Q109"/>
    <hyperlink r:id="rId325" ref="T109"/>
    <hyperlink r:id="rId326" ref="K110"/>
    <hyperlink r:id="rId327" ref="L110"/>
    <hyperlink r:id="rId328" ref="Q110"/>
    <hyperlink r:id="rId329" ref="T110"/>
    <hyperlink r:id="rId330" ref="K111"/>
    <hyperlink r:id="rId331" ref="L111"/>
    <hyperlink r:id="rId332" ref="Q111"/>
    <hyperlink r:id="rId333" ref="T111"/>
    <hyperlink r:id="rId334" ref="K112"/>
    <hyperlink r:id="rId335" ref="L112"/>
    <hyperlink r:id="rId336" ref="Q112"/>
    <hyperlink r:id="rId337" ref="T112"/>
    <hyperlink r:id="rId338" ref="K113"/>
    <hyperlink r:id="rId339" ref="L113"/>
    <hyperlink r:id="rId340" ref="Q113"/>
    <hyperlink r:id="rId341" ref="T113"/>
    <hyperlink r:id="rId342" ref="K114"/>
    <hyperlink r:id="rId343" ref="L114"/>
    <hyperlink r:id="rId344" ref="Q114"/>
    <hyperlink r:id="rId345" ref="T114"/>
    <hyperlink r:id="rId346" ref="K115"/>
    <hyperlink r:id="rId347" ref="L115"/>
    <hyperlink r:id="rId348" ref="Q115"/>
    <hyperlink r:id="rId349" ref="T115"/>
    <hyperlink r:id="rId350" ref="K116"/>
    <hyperlink r:id="rId351" ref="L116"/>
    <hyperlink r:id="rId352" ref="Q116"/>
    <hyperlink r:id="rId353" ref="T116"/>
    <hyperlink r:id="rId354" ref="K117"/>
    <hyperlink r:id="rId355" ref="L117"/>
    <hyperlink r:id="rId356" ref="Q117"/>
    <hyperlink r:id="rId357" ref="T117"/>
    <hyperlink r:id="rId358" ref="K118"/>
    <hyperlink r:id="rId359" ref="L118"/>
    <hyperlink r:id="rId360" ref="Q118"/>
    <hyperlink r:id="rId361" ref="T118"/>
    <hyperlink r:id="rId362" ref="K119"/>
    <hyperlink r:id="rId363" ref="L119"/>
    <hyperlink r:id="rId364" ref="Q119"/>
    <hyperlink r:id="rId365" ref="T119"/>
    <hyperlink r:id="rId366" ref="K120"/>
    <hyperlink r:id="rId367" ref="L120"/>
    <hyperlink r:id="rId368" ref="Q120"/>
    <hyperlink r:id="rId369" ref="T120"/>
    <hyperlink r:id="rId370" ref="K121"/>
    <hyperlink r:id="rId371" ref="L121"/>
    <hyperlink r:id="rId372" ref="Q121"/>
    <hyperlink r:id="rId373" ref="T121"/>
    <hyperlink r:id="rId374" ref="K122"/>
    <hyperlink r:id="rId375" ref="L122"/>
    <hyperlink r:id="rId376" ref="Q122"/>
    <hyperlink r:id="rId377" ref="T122"/>
    <hyperlink r:id="rId378" ref="K123"/>
    <hyperlink r:id="rId379" ref="L123"/>
    <hyperlink r:id="rId380" ref="Q123"/>
    <hyperlink r:id="rId381" ref="T123"/>
    <hyperlink r:id="rId382" ref="K124"/>
    <hyperlink r:id="rId383" ref="L124"/>
    <hyperlink r:id="rId384" ref="Q124"/>
    <hyperlink r:id="rId385" ref="T124"/>
    <hyperlink r:id="rId386" ref="K125"/>
    <hyperlink r:id="rId387" ref="L125"/>
    <hyperlink r:id="rId388" ref="Q125"/>
    <hyperlink r:id="rId389" ref="T125"/>
    <hyperlink r:id="rId390" ref="K127"/>
    <hyperlink r:id="rId391" ref="L127"/>
    <hyperlink r:id="rId392" ref="Q127"/>
    <hyperlink r:id="rId393" ref="T127"/>
    <hyperlink r:id="rId394" ref="K128"/>
    <hyperlink r:id="rId395" ref="L128"/>
    <hyperlink r:id="rId396" ref="Q128"/>
    <hyperlink r:id="rId397" ref="T128"/>
    <hyperlink r:id="rId398" ref="K130"/>
    <hyperlink r:id="rId399" ref="L130"/>
    <hyperlink r:id="rId400" ref="Q130"/>
    <hyperlink r:id="rId401" ref="T130"/>
    <hyperlink r:id="rId402" ref="K131"/>
    <hyperlink r:id="rId403" ref="L131"/>
    <hyperlink r:id="rId404" ref="Q131"/>
    <hyperlink r:id="rId405" ref="T131"/>
    <hyperlink r:id="rId406" ref="K132"/>
    <hyperlink r:id="rId407" ref="L132"/>
    <hyperlink r:id="rId408" ref="Q132"/>
    <hyperlink r:id="rId409" ref="T132"/>
    <hyperlink r:id="rId410" ref="K133"/>
    <hyperlink r:id="rId411" ref="L133"/>
    <hyperlink r:id="rId412" ref="Q133"/>
    <hyperlink r:id="rId413" ref="T133"/>
    <hyperlink r:id="rId414" ref="K134"/>
    <hyperlink r:id="rId415" ref="L134"/>
    <hyperlink r:id="rId416" ref="Q134"/>
    <hyperlink r:id="rId417" ref="T134"/>
    <hyperlink r:id="rId418" ref="K135"/>
    <hyperlink r:id="rId419" ref="L135"/>
    <hyperlink r:id="rId420" ref="Q135"/>
    <hyperlink r:id="rId421" ref="T135"/>
    <hyperlink r:id="rId422" ref="K136"/>
    <hyperlink r:id="rId423" ref="L136"/>
    <hyperlink r:id="rId424" ref="Q136"/>
    <hyperlink r:id="rId425" ref="T136"/>
    <hyperlink r:id="rId426" ref="K137"/>
    <hyperlink r:id="rId427" ref="L137"/>
    <hyperlink r:id="rId428" ref="Q137"/>
    <hyperlink r:id="rId429" ref="T137"/>
    <hyperlink r:id="rId430" ref="K138"/>
    <hyperlink r:id="rId431" ref="L138"/>
    <hyperlink r:id="rId432" ref="Q138"/>
    <hyperlink r:id="rId433" ref="T138"/>
    <hyperlink r:id="rId434" ref="K139"/>
    <hyperlink r:id="rId435" ref="L139"/>
    <hyperlink r:id="rId436" ref="Q139"/>
    <hyperlink r:id="rId437" ref="T139"/>
    <hyperlink r:id="rId438" ref="K140"/>
    <hyperlink r:id="rId439" ref="L140"/>
    <hyperlink r:id="rId440" ref="Q140"/>
    <hyperlink r:id="rId441" ref="T140"/>
    <hyperlink r:id="rId442" ref="K141"/>
    <hyperlink r:id="rId443" ref="L141"/>
    <hyperlink r:id="rId444" ref="Q141"/>
    <hyperlink r:id="rId445" ref="T141"/>
    <hyperlink r:id="rId446" ref="K142"/>
    <hyperlink r:id="rId447" ref="L142"/>
    <hyperlink r:id="rId448" ref="Q142"/>
    <hyperlink r:id="rId449" ref="T142"/>
  </hyperlinks>
  <drawing r:id="rId45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3.88"/>
  </cols>
  <sheetData>
    <row r="1">
      <c r="A1" s="1" t="s">
        <v>25</v>
      </c>
      <c r="B1" s="1" t="s">
        <v>0</v>
      </c>
      <c r="C1" s="1" t="s">
        <v>26</v>
      </c>
      <c r="D1" s="1" t="s">
        <v>27</v>
      </c>
      <c r="E1" s="1" t="s">
        <v>42</v>
      </c>
      <c r="F1" s="1" t="s">
        <v>1416</v>
      </c>
      <c r="G1" s="1" t="s">
        <v>30</v>
      </c>
      <c r="H1" s="1" t="s">
        <v>1417</v>
      </c>
      <c r="I1" s="1" t="s">
        <v>31</v>
      </c>
      <c r="J1" s="1" t="s">
        <v>28</v>
      </c>
      <c r="K1" s="1" t="s">
        <v>29</v>
      </c>
      <c r="L1" s="1" t="s">
        <v>32</v>
      </c>
      <c r="M1" s="1" t="s">
        <v>33</v>
      </c>
      <c r="N1" s="1" t="s">
        <v>3</v>
      </c>
      <c r="O1" s="1" t="s">
        <v>34</v>
      </c>
      <c r="P1" s="1" t="s">
        <v>1418</v>
      </c>
      <c r="Q1" s="1" t="s">
        <v>35</v>
      </c>
      <c r="R1" s="1" t="s">
        <v>39</v>
      </c>
      <c r="S1" s="1" t="s">
        <v>38</v>
      </c>
      <c r="T1" s="1" t="s">
        <v>43</v>
      </c>
      <c r="U1" s="1" t="s">
        <v>44</v>
      </c>
      <c r="V1" s="1" t="s">
        <v>36</v>
      </c>
      <c r="W1" s="1" t="s">
        <v>37</v>
      </c>
      <c r="X1" s="1" t="s">
        <v>40</v>
      </c>
      <c r="Y1" s="1" t="s">
        <v>41</v>
      </c>
      <c r="Z1" s="1" t="s">
        <v>1</v>
      </c>
      <c r="AA1" s="1" t="s">
        <v>45</v>
      </c>
    </row>
    <row r="2">
      <c r="B2" s="1" t="s">
        <v>5</v>
      </c>
      <c r="C2" s="1" t="s">
        <v>46</v>
      </c>
      <c r="D2" s="1" t="s">
        <v>47</v>
      </c>
      <c r="G2" s="1"/>
      <c r="I2" s="1" t="s">
        <v>50</v>
      </c>
      <c r="J2" s="1" t="s">
        <v>48</v>
      </c>
      <c r="K2" s="3" t="b">
        <v>1</v>
      </c>
      <c r="L2" s="1" t="s">
        <v>85</v>
      </c>
      <c r="M2" s="1" t="s">
        <v>47</v>
      </c>
      <c r="N2" s="2" t="s">
        <v>7</v>
      </c>
      <c r="O2" s="2" t="s">
        <v>86</v>
      </c>
      <c r="P2" s="2" t="s">
        <v>1419</v>
      </c>
      <c r="Q2" s="1" t="s">
        <v>1420</v>
      </c>
      <c r="S2" s="1" t="s">
        <v>1421</v>
      </c>
      <c r="U2" s="1" t="s">
        <v>1422</v>
      </c>
    </row>
    <row r="3">
      <c r="B3" s="1" t="s">
        <v>21</v>
      </c>
      <c r="C3" s="1" t="s">
        <v>60</v>
      </c>
      <c r="D3" s="1" t="s">
        <v>61</v>
      </c>
      <c r="G3" s="1" t="s">
        <v>54</v>
      </c>
      <c r="I3" s="1" t="s">
        <v>63</v>
      </c>
      <c r="J3" s="1" t="s">
        <v>62</v>
      </c>
      <c r="K3" s="3" t="b">
        <v>1</v>
      </c>
      <c r="L3" s="1" t="s">
        <v>85</v>
      </c>
      <c r="M3" s="1" t="s">
        <v>61</v>
      </c>
      <c r="N3" s="2" t="s">
        <v>23</v>
      </c>
      <c r="O3" s="2" t="s">
        <v>86</v>
      </c>
      <c r="Q3" s="1" t="s">
        <v>1423</v>
      </c>
      <c r="S3" s="1" t="s">
        <v>1421</v>
      </c>
      <c r="U3" s="1" t="s">
        <v>1424</v>
      </c>
      <c r="V3" s="1" t="s">
        <v>1425</v>
      </c>
      <c r="W3" s="3">
        <v>20.0</v>
      </c>
      <c r="X3" s="1" t="s">
        <v>1426</v>
      </c>
    </row>
    <row r="4">
      <c r="B4" s="1" t="s">
        <v>21</v>
      </c>
      <c r="C4" s="1" t="s">
        <v>64</v>
      </c>
      <c r="D4" s="1" t="s">
        <v>65</v>
      </c>
      <c r="G4" s="1" t="s">
        <v>54</v>
      </c>
      <c r="I4" s="1" t="s">
        <v>67</v>
      </c>
      <c r="J4" s="1" t="s">
        <v>66</v>
      </c>
      <c r="K4" s="3" t="b">
        <v>1</v>
      </c>
      <c r="L4" s="1" t="s">
        <v>85</v>
      </c>
      <c r="M4" s="1" t="s">
        <v>65</v>
      </c>
      <c r="N4" s="2" t="s">
        <v>23</v>
      </c>
      <c r="O4" s="2" t="s">
        <v>86</v>
      </c>
      <c r="Q4" s="1" t="s">
        <v>1427</v>
      </c>
      <c r="S4" s="1" t="s">
        <v>1421</v>
      </c>
      <c r="U4" s="1" t="s">
        <v>1424</v>
      </c>
      <c r="V4" s="1" t="s">
        <v>1428</v>
      </c>
      <c r="W4" s="3">
        <v>20.0</v>
      </c>
      <c r="X4" s="1" t="s">
        <v>1426</v>
      </c>
    </row>
    <row r="5">
      <c r="A5" s="1" t="s">
        <v>1429</v>
      </c>
      <c r="B5" s="1" t="s">
        <v>21</v>
      </c>
      <c r="C5" s="1" t="s">
        <v>64</v>
      </c>
      <c r="D5" s="1" t="s">
        <v>65</v>
      </c>
      <c r="E5" s="2" t="s">
        <v>1430</v>
      </c>
      <c r="G5" s="1" t="s">
        <v>1431</v>
      </c>
      <c r="I5" s="1" t="s">
        <v>67</v>
      </c>
      <c r="J5" s="1" t="s">
        <v>66</v>
      </c>
      <c r="K5" s="3" t="b">
        <v>1</v>
      </c>
      <c r="L5" s="1" t="s">
        <v>85</v>
      </c>
      <c r="M5" s="1" t="s">
        <v>65</v>
      </c>
      <c r="N5" s="2" t="s">
        <v>23</v>
      </c>
      <c r="O5" s="2" t="s">
        <v>86</v>
      </c>
      <c r="Q5" s="1" t="s">
        <v>1427</v>
      </c>
      <c r="R5" s="2" t="s">
        <v>1432</v>
      </c>
      <c r="S5" s="1" t="s">
        <v>89</v>
      </c>
      <c r="T5" s="6" t="str">
        <f>IMAGE("https://drive.google.com/uc?id=1BkQJtqDOaHaAw-pubyYnlGBDQnf4_eAz")</f>
        <v/>
      </c>
      <c r="U5" s="1" t="s">
        <v>94</v>
      </c>
      <c r="V5" s="1" t="s">
        <v>1433</v>
      </c>
      <c r="W5" s="3">
        <v>5.0</v>
      </c>
      <c r="X5" s="1" t="s">
        <v>91</v>
      </c>
      <c r="Y5" s="1" t="s">
        <v>1434</v>
      </c>
    </row>
    <row r="6">
      <c r="A6" s="1" t="s">
        <v>468</v>
      </c>
      <c r="B6" s="1" t="s">
        <v>13</v>
      </c>
      <c r="C6" s="1" t="s">
        <v>81</v>
      </c>
      <c r="D6" s="1" t="s">
        <v>82</v>
      </c>
      <c r="E6" s="2" t="s">
        <v>1435</v>
      </c>
      <c r="G6" s="1" t="s">
        <v>1431</v>
      </c>
      <c r="I6" s="1" t="s">
        <v>84</v>
      </c>
      <c r="J6" s="1" t="s">
        <v>83</v>
      </c>
      <c r="K6" s="3" t="b">
        <v>1</v>
      </c>
      <c r="L6" s="1" t="s">
        <v>85</v>
      </c>
      <c r="M6" s="1" t="s">
        <v>82</v>
      </c>
      <c r="N6" s="2" t="s">
        <v>15</v>
      </c>
      <c r="O6" s="2" t="s">
        <v>86</v>
      </c>
      <c r="Q6" s="1" t="s">
        <v>87</v>
      </c>
      <c r="R6" s="2" t="s">
        <v>1436</v>
      </c>
      <c r="S6" s="1" t="s">
        <v>89</v>
      </c>
      <c r="T6" s="4" t="str">
        <f>IMAGE("https://drive.google.com/uc?id=1T00PbEsncvm7Ib3hwRopTsTVAoE28IeH")</f>
        <v/>
      </c>
      <c r="U6" s="1" t="s">
        <v>94</v>
      </c>
      <c r="V6" s="1" t="s">
        <v>1437</v>
      </c>
      <c r="W6" s="3">
        <v>1.0</v>
      </c>
      <c r="X6" s="1" t="s">
        <v>91</v>
      </c>
      <c r="Y6" s="1" t="s">
        <v>1438</v>
      </c>
    </row>
    <row r="7">
      <c r="A7" s="1" t="s">
        <v>468</v>
      </c>
      <c r="B7" s="1" t="s">
        <v>13</v>
      </c>
      <c r="C7" s="1" t="s">
        <v>81</v>
      </c>
      <c r="D7" s="1" t="s">
        <v>82</v>
      </c>
      <c r="E7" s="2" t="s">
        <v>93</v>
      </c>
      <c r="G7" s="1" t="s">
        <v>1439</v>
      </c>
      <c r="I7" s="1" t="s">
        <v>84</v>
      </c>
      <c r="J7" s="1" t="s">
        <v>83</v>
      </c>
      <c r="K7" s="3" t="b">
        <v>1</v>
      </c>
      <c r="L7" s="1" t="s">
        <v>85</v>
      </c>
      <c r="M7" s="1" t="s">
        <v>82</v>
      </c>
      <c r="N7" s="2" t="s">
        <v>15</v>
      </c>
      <c r="O7" s="2" t="s">
        <v>86</v>
      </c>
      <c r="Q7" s="1" t="s">
        <v>87</v>
      </c>
      <c r="R7" s="2" t="s">
        <v>90</v>
      </c>
      <c r="S7" s="1" t="s">
        <v>89</v>
      </c>
      <c r="T7" s="4" t="str">
        <f>IMAGE("https://drive.google.com/uc?id=1986uKB8ne4rTP2ET6PU4GClKqpOv7qZ4")</f>
        <v/>
      </c>
      <c r="U7" s="1" t="s">
        <v>94</v>
      </c>
      <c r="V7" s="1" t="s">
        <v>88</v>
      </c>
      <c r="W7" s="3">
        <v>2.0</v>
      </c>
      <c r="X7" s="1" t="s">
        <v>91</v>
      </c>
      <c r="Y7" s="1" t="s">
        <v>92</v>
      </c>
    </row>
    <row r="8">
      <c r="A8" s="1" t="s">
        <v>106</v>
      </c>
      <c r="B8" s="1" t="s">
        <v>21</v>
      </c>
      <c r="C8" s="1" t="s">
        <v>107</v>
      </c>
      <c r="E8" s="2" t="s">
        <v>114</v>
      </c>
      <c r="G8" s="1" t="s">
        <v>1431</v>
      </c>
      <c r="I8" s="1" t="s">
        <v>109</v>
      </c>
      <c r="J8" s="1" t="s">
        <v>108</v>
      </c>
      <c r="K8" s="3" t="b">
        <v>1</v>
      </c>
      <c r="L8" s="1" t="s">
        <v>85</v>
      </c>
      <c r="M8" s="1" t="s">
        <v>107</v>
      </c>
      <c r="N8" s="2" t="s">
        <v>23</v>
      </c>
      <c r="O8" s="2" t="s">
        <v>86</v>
      </c>
      <c r="Q8" s="1" t="s">
        <v>110</v>
      </c>
      <c r="R8" s="2" t="s">
        <v>112</v>
      </c>
      <c r="S8" s="1" t="s">
        <v>89</v>
      </c>
      <c r="T8" s="4" t="str">
        <f>IMAGE("https://drive.google.com/uc?id=1axzQogpet0OO1ucMNmyY927qLN5VCkrA")</f>
        <v/>
      </c>
      <c r="U8" s="1" t="s">
        <v>94</v>
      </c>
      <c r="V8" s="1" t="s">
        <v>111</v>
      </c>
      <c r="W8" s="3">
        <v>8.0</v>
      </c>
      <c r="X8" s="1" t="s">
        <v>91</v>
      </c>
      <c r="Y8" s="1" t="s">
        <v>113</v>
      </c>
      <c r="Z8" s="1" t="s">
        <v>22</v>
      </c>
      <c r="AA8" s="1" t="s">
        <v>115</v>
      </c>
    </row>
    <row r="9">
      <c r="A9" s="1" t="s">
        <v>116</v>
      </c>
      <c r="B9" s="1" t="s">
        <v>21</v>
      </c>
      <c r="C9" s="1" t="s">
        <v>117</v>
      </c>
      <c r="E9" s="2" t="s">
        <v>124</v>
      </c>
      <c r="G9" s="1" t="s">
        <v>1431</v>
      </c>
      <c r="I9" s="1" t="s">
        <v>119</v>
      </c>
      <c r="J9" s="1" t="s">
        <v>118</v>
      </c>
      <c r="K9" s="3" t="b">
        <v>1</v>
      </c>
      <c r="L9" s="1" t="s">
        <v>85</v>
      </c>
      <c r="M9" s="1" t="s">
        <v>117</v>
      </c>
      <c r="N9" s="2" t="s">
        <v>23</v>
      </c>
      <c r="O9" s="2" t="s">
        <v>86</v>
      </c>
      <c r="Q9" s="1" t="s">
        <v>120</v>
      </c>
      <c r="R9" s="2" t="s">
        <v>122</v>
      </c>
      <c r="S9" s="1" t="s">
        <v>89</v>
      </c>
      <c r="T9" s="4" t="str">
        <f>IMAGE("https://drive.google.com/uc?id=1WC_fkf5LoF-1-3s6sPB48LVswkwD1OEl")</f>
        <v/>
      </c>
      <c r="U9" s="1" t="s">
        <v>94</v>
      </c>
      <c r="V9" s="1" t="s">
        <v>121</v>
      </c>
      <c r="W9" s="3">
        <v>3.0</v>
      </c>
      <c r="X9" s="1" t="s">
        <v>91</v>
      </c>
      <c r="Y9" s="1" t="s">
        <v>123</v>
      </c>
      <c r="Z9" s="1" t="s">
        <v>22</v>
      </c>
      <c r="AA9" s="1" t="s">
        <v>125</v>
      </c>
    </row>
    <row r="10">
      <c r="A10" s="1" t="s">
        <v>126</v>
      </c>
      <c r="B10" s="1" t="s">
        <v>21</v>
      </c>
      <c r="C10" s="1" t="s">
        <v>127</v>
      </c>
      <c r="E10" s="2" t="s">
        <v>1440</v>
      </c>
      <c r="G10" s="1" t="s">
        <v>1431</v>
      </c>
      <c r="I10" s="1" t="s">
        <v>129</v>
      </c>
      <c r="J10" s="1" t="s">
        <v>128</v>
      </c>
      <c r="K10" s="3" t="b">
        <v>1</v>
      </c>
      <c r="L10" s="1" t="s">
        <v>85</v>
      </c>
      <c r="M10" s="1" t="s">
        <v>127</v>
      </c>
      <c r="N10" s="2" t="s">
        <v>23</v>
      </c>
      <c r="O10" s="2" t="s">
        <v>86</v>
      </c>
      <c r="Q10" s="1" t="s">
        <v>1441</v>
      </c>
      <c r="R10" s="2" t="s">
        <v>1442</v>
      </c>
      <c r="S10" s="1" t="s">
        <v>89</v>
      </c>
      <c r="T10" s="4" t="str">
        <f>IMAGE("https://drive.google.com/uc?id=1RoYL0-FdR0okT1CV-_ZE3797vGqHqETV")</f>
        <v/>
      </c>
      <c r="U10" s="1" t="s">
        <v>94</v>
      </c>
      <c r="V10" s="1" t="s">
        <v>1443</v>
      </c>
      <c r="W10" s="3">
        <v>6.0</v>
      </c>
      <c r="X10" s="1" t="s">
        <v>91</v>
      </c>
      <c r="Y10" s="1" t="s">
        <v>1444</v>
      </c>
      <c r="Z10" s="1" t="s">
        <v>22</v>
      </c>
      <c r="AA10" s="1" t="s">
        <v>1445</v>
      </c>
    </row>
    <row r="11">
      <c r="A11" s="1" t="s">
        <v>131</v>
      </c>
      <c r="B11" s="1" t="s">
        <v>21</v>
      </c>
      <c r="C11" s="1" t="s">
        <v>132</v>
      </c>
      <c r="E11" s="2" t="s">
        <v>139</v>
      </c>
      <c r="G11" s="1" t="s">
        <v>1431</v>
      </c>
      <c r="I11" s="1" t="s">
        <v>134</v>
      </c>
      <c r="J11" s="1" t="s">
        <v>133</v>
      </c>
      <c r="K11" s="3" t="b">
        <v>1</v>
      </c>
      <c r="L11" s="1" t="s">
        <v>85</v>
      </c>
      <c r="M11" s="1" t="s">
        <v>132</v>
      </c>
      <c r="N11" s="2" t="s">
        <v>23</v>
      </c>
      <c r="O11" s="2" t="s">
        <v>86</v>
      </c>
      <c r="Q11" s="1" t="s">
        <v>135</v>
      </c>
      <c r="R11" s="2" t="s">
        <v>137</v>
      </c>
      <c r="S11" s="1" t="s">
        <v>89</v>
      </c>
      <c r="T11" s="4" t="str">
        <f>IMAGE("https://drive.google.com/uc?id=1J2kf8Cb7CEpYXJoH3BS_7VnM5zVRPdq_")</f>
        <v/>
      </c>
      <c r="U11" s="1" t="s">
        <v>94</v>
      </c>
      <c r="V11" s="1" t="s">
        <v>136</v>
      </c>
      <c r="W11" s="3">
        <v>6.0</v>
      </c>
      <c r="X11" s="1" t="s">
        <v>91</v>
      </c>
      <c r="Y11" s="1" t="s">
        <v>138</v>
      </c>
      <c r="Z11" s="1" t="s">
        <v>22</v>
      </c>
      <c r="AA11" s="1" t="s">
        <v>140</v>
      </c>
    </row>
    <row r="12">
      <c r="A12" s="1" t="s">
        <v>141</v>
      </c>
      <c r="B12" s="1" t="s">
        <v>21</v>
      </c>
      <c r="C12" s="1" t="s">
        <v>142</v>
      </c>
      <c r="E12" s="2" t="s">
        <v>148</v>
      </c>
      <c r="G12" s="1" t="s">
        <v>1431</v>
      </c>
      <c r="I12" s="1" t="s">
        <v>1446</v>
      </c>
      <c r="J12" s="1" t="s">
        <v>143</v>
      </c>
      <c r="K12" s="3" t="b">
        <v>1</v>
      </c>
      <c r="L12" s="1" t="s">
        <v>85</v>
      </c>
      <c r="M12" s="1" t="s">
        <v>142</v>
      </c>
      <c r="N12" s="2" t="s">
        <v>23</v>
      </c>
      <c r="O12" s="2" t="s">
        <v>86</v>
      </c>
      <c r="Q12" s="1" t="s">
        <v>144</v>
      </c>
      <c r="R12" s="2" t="s">
        <v>146</v>
      </c>
      <c r="S12" s="1" t="s">
        <v>89</v>
      </c>
      <c r="T12" s="4" t="str">
        <f>IMAGE("https://drive.google.com/uc?id=1Y6NRtGDmtQIUpTCDgqU5pd78VkCFNVZ0")</f>
        <v/>
      </c>
      <c r="U12" s="1" t="s">
        <v>94</v>
      </c>
      <c r="V12" s="1" t="s">
        <v>145</v>
      </c>
      <c r="W12" s="3">
        <v>5.0</v>
      </c>
      <c r="X12" s="1" t="s">
        <v>91</v>
      </c>
      <c r="Y12" s="1" t="s">
        <v>147</v>
      </c>
      <c r="Z12" s="1" t="s">
        <v>22</v>
      </c>
      <c r="AA12" s="1" t="s">
        <v>149</v>
      </c>
    </row>
    <row r="13">
      <c r="A13" s="1" t="s">
        <v>150</v>
      </c>
      <c r="B13" s="1" t="s">
        <v>21</v>
      </c>
      <c r="C13" s="1" t="s">
        <v>151</v>
      </c>
      <c r="E13" s="2" t="s">
        <v>158</v>
      </c>
      <c r="G13" s="1" t="s">
        <v>1431</v>
      </c>
      <c r="I13" s="1" t="s">
        <v>153</v>
      </c>
      <c r="J13" s="1" t="s">
        <v>152</v>
      </c>
      <c r="K13" s="3" t="b">
        <v>1</v>
      </c>
      <c r="L13" s="1" t="s">
        <v>85</v>
      </c>
      <c r="M13" s="1" t="s">
        <v>151</v>
      </c>
      <c r="N13" s="2" t="s">
        <v>23</v>
      </c>
      <c r="O13" s="2" t="s">
        <v>86</v>
      </c>
      <c r="Q13" s="1" t="s">
        <v>154</v>
      </c>
      <c r="R13" s="2" t="s">
        <v>156</v>
      </c>
      <c r="S13" s="1" t="s">
        <v>89</v>
      </c>
      <c r="T13" s="4" t="str">
        <f>IMAGE("https://drive.google.com/uc?id=1A5L4Yt5tpuT0AXDZXbMQwDaAyOuV3qaQ")</f>
        <v/>
      </c>
      <c r="U13" s="1" t="s">
        <v>94</v>
      </c>
      <c r="V13" s="1" t="s">
        <v>155</v>
      </c>
      <c r="W13" s="3">
        <v>4.0</v>
      </c>
      <c r="X13" s="1" t="s">
        <v>91</v>
      </c>
      <c r="Y13" s="1" t="s">
        <v>157</v>
      </c>
      <c r="Z13" s="1" t="s">
        <v>22</v>
      </c>
      <c r="AA13" s="1" t="s">
        <v>159</v>
      </c>
    </row>
    <row r="14">
      <c r="A14" s="1" t="s">
        <v>160</v>
      </c>
      <c r="B14" s="1" t="s">
        <v>21</v>
      </c>
      <c r="C14" s="1" t="s">
        <v>161</v>
      </c>
      <c r="E14" s="2" t="s">
        <v>168</v>
      </c>
      <c r="G14" s="1" t="s">
        <v>1431</v>
      </c>
      <c r="I14" s="1" t="s">
        <v>163</v>
      </c>
      <c r="J14" s="1" t="s">
        <v>162</v>
      </c>
      <c r="K14" s="3" t="b">
        <v>1</v>
      </c>
      <c r="L14" s="1" t="s">
        <v>85</v>
      </c>
      <c r="M14" s="1" t="s">
        <v>161</v>
      </c>
      <c r="N14" s="2" t="s">
        <v>23</v>
      </c>
      <c r="O14" s="2" t="s">
        <v>86</v>
      </c>
      <c r="Q14" s="1" t="s">
        <v>164</v>
      </c>
      <c r="R14" s="2" t="s">
        <v>166</v>
      </c>
      <c r="S14" s="1" t="s">
        <v>89</v>
      </c>
      <c r="T14" s="4" t="str">
        <f>IMAGE("https://drive.google.com/uc?id=109gBhPKLZ7CUpSPuki-t71akx5xBVhjw")</f>
        <v/>
      </c>
      <c r="U14" s="1" t="s">
        <v>94</v>
      </c>
      <c r="V14" s="1" t="s">
        <v>165</v>
      </c>
      <c r="W14" s="3">
        <v>6.0</v>
      </c>
      <c r="X14" s="1" t="s">
        <v>91</v>
      </c>
      <c r="Y14" s="1" t="s">
        <v>167</v>
      </c>
      <c r="Z14" s="1" t="s">
        <v>22</v>
      </c>
      <c r="AA14" s="1" t="s">
        <v>169</v>
      </c>
    </row>
    <row r="15">
      <c r="A15" s="1" t="s">
        <v>170</v>
      </c>
      <c r="B15" s="1" t="s">
        <v>21</v>
      </c>
      <c r="C15" s="1" t="s">
        <v>171</v>
      </c>
      <c r="E15" s="2" t="s">
        <v>178</v>
      </c>
      <c r="G15" s="1" t="s">
        <v>1431</v>
      </c>
      <c r="I15" s="1" t="s">
        <v>173</v>
      </c>
      <c r="J15" s="1" t="s">
        <v>172</v>
      </c>
      <c r="K15" s="3" t="b">
        <v>1</v>
      </c>
      <c r="L15" s="1" t="s">
        <v>85</v>
      </c>
      <c r="M15" s="1" t="s">
        <v>171</v>
      </c>
      <c r="N15" s="2" t="s">
        <v>23</v>
      </c>
      <c r="O15" s="2" t="s">
        <v>86</v>
      </c>
      <c r="Q15" s="1" t="s">
        <v>174</v>
      </c>
      <c r="R15" s="2" t="s">
        <v>176</v>
      </c>
      <c r="S15" s="1" t="s">
        <v>89</v>
      </c>
      <c r="T15" s="4" t="str">
        <f>IMAGE("https://drive.google.com/uc?id=1qpnNFRdxDT-5fzEqloOO-FK9a0GhxtA1")</f>
        <v/>
      </c>
      <c r="U15" s="1" t="s">
        <v>94</v>
      </c>
      <c r="V15" s="1" t="s">
        <v>175</v>
      </c>
      <c r="W15" s="3">
        <v>3.0</v>
      </c>
      <c r="X15" s="1" t="s">
        <v>91</v>
      </c>
      <c r="Y15" s="1" t="s">
        <v>177</v>
      </c>
      <c r="Z15" s="1" t="s">
        <v>22</v>
      </c>
      <c r="AA15" s="1" t="s">
        <v>179</v>
      </c>
    </row>
    <row r="16">
      <c r="A16" s="1" t="s">
        <v>180</v>
      </c>
      <c r="B16" s="1" t="s">
        <v>21</v>
      </c>
      <c r="C16" s="1" t="s">
        <v>181</v>
      </c>
      <c r="E16" s="2" t="s">
        <v>188</v>
      </c>
      <c r="G16" s="1" t="s">
        <v>1431</v>
      </c>
      <c r="I16" s="1" t="s">
        <v>183</v>
      </c>
      <c r="J16" s="1" t="s">
        <v>182</v>
      </c>
      <c r="K16" s="3" t="b">
        <v>1</v>
      </c>
      <c r="L16" s="1" t="s">
        <v>85</v>
      </c>
      <c r="M16" s="1" t="s">
        <v>181</v>
      </c>
      <c r="N16" s="2" t="s">
        <v>23</v>
      </c>
      <c r="O16" s="2" t="s">
        <v>86</v>
      </c>
      <c r="Q16" s="1" t="s">
        <v>184</v>
      </c>
      <c r="R16" s="2" t="s">
        <v>186</v>
      </c>
      <c r="S16" s="1" t="s">
        <v>89</v>
      </c>
      <c r="T16" s="4" t="str">
        <f>IMAGE("https://drive.google.com/uc?id=11orFzPxTHpyaaZZczJJRK1hAtQt7cb8x")</f>
        <v/>
      </c>
      <c r="U16" s="1" t="s">
        <v>94</v>
      </c>
      <c r="V16" s="1" t="s">
        <v>185</v>
      </c>
      <c r="W16" s="3">
        <v>3.0</v>
      </c>
      <c r="X16" s="1" t="s">
        <v>91</v>
      </c>
      <c r="Y16" s="1" t="s">
        <v>187</v>
      </c>
      <c r="Z16" s="1" t="s">
        <v>22</v>
      </c>
      <c r="AA16" s="1" t="s">
        <v>189</v>
      </c>
    </row>
    <row r="17">
      <c r="A17" s="1" t="s">
        <v>190</v>
      </c>
      <c r="B17" s="1" t="s">
        <v>21</v>
      </c>
      <c r="C17" s="1" t="s">
        <v>191</v>
      </c>
      <c r="E17" s="2" t="s">
        <v>198</v>
      </c>
      <c r="G17" s="1" t="s">
        <v>1431</v>
      </c>
      <c r="I17" s="1" t="s">
        <v>193</v>
      </c>
      <c r="J17" s="1" t="s">
        <v>192</v>
      </c>
      <c r="K17" s="3" t="b">
        <v>1</v>
      </c>
      <c r="L17" s="1" t="s">
        <v>85</v>
      </c>
      <c r="M17" s="1" t="s">
        <v>191</v>
      </c>
      <c r="N17" s="2" t="s">
        <v>23</v>
      </c>
      <c r="O17" s="2" t="s">
        <v>86</v>
      </c>
      <c r="Q17" s="1" t="s">
        <v>194</v>
      </c>
      <c r="R17" s="2" t="s">
        <v>196</v>
      </c>
      <c r="S17" s="1" t="s">
        <v>89</v>
      </c>
      <c r="T17" s="4" t="str">
        <f>IMAGE("https://drive.google.com/uc?id=1a-iX9Gd78mBH4NRLoUtncFTcj0Ts8eIB")</f>
        <v/>
      </c>
      <c r="U17" s="1" t="s">
        <v>94</v>
      </c>
      <c r="V17" s="1" t="s">
        <v>195</v>
      </c>
      <c r="W17" s="3">
        <v>3.0</v>
      </c>
      <c r="X17" s="1" t="s">
        <v>91</v>
      </c>
      <c r="Y17" s="1" t="s">
        <v>197</v>
      </c>
      <c r="Z17" s="1" t="s">
        <v>22</v>
      </c>
      <c r="AA17" s="1" t="s">
        <v>199</v>
      </c>
    </row>
    <row r="18">
      <c r="A18" s="1" t="s">
        <v>200</v>
      </c>
      <c r="B18" s="1" t="s">
        <v>21</v>
      </c>
      <c r="C18" s="1" t="s">
        <v>201</v>
      </c>
      <c r="E18" s="2" t="s">
        <v>208</v>
      </c>
      <c r="G18" s="1" t="s">
        <v>1431</v>
      </c>
      <c r="I18" s="1" t="s">
        <v>203</v>
      </c>
      <c r="J18" s="1" t="s">
        <v>202</v>
      </c>
      <c r="K18" s="3" t="b">
        <v>1</v>
      </c>
      <c r="L18" s="1" t="s">
        <v>85</v>
      </c>
      <c r="M18" s="1" t="s">
        <v>201</v>
      </c>
      <c r="N18" s="2" t="s">
        <v>23</v>
      </c>
      <c r="O18" s="2" t="s">
        <v>86</v>
      </c>
      <c r="Q18" s="1" t="s">
        <v>204</v>
      </c>
      <c r="R18" s="2" t="s">
        <v>206</v>
      </c>
      <c r="S18" s="1" t="s">
        <v>89</v>
      </c>
      <c r="T18" s="4" t="str">
        <f>IMAGE("https://drive.google.com/uc?id=17fXMbj_BmjDf6pIYhRaHoZJt5mA2nmC1")</f>
        <v/>
      </c>
      <c r="U18" s="1" t="s">
        <v>94</v>
      </c>
      <c r="V18" s="1" t="s">
        <v>205</v>
      </c>
      <c r="W18" s="3">
        <v>3.0</v>
      </c>
      <c r="X18" s="1" t="s">
        <v>91</v>
      </c>
      <c r="Y18" s="1" t="s">
        <v>207</v>
      </c>
      <c r="Z18" s="1" t="s">
        <v>22</v>
      </c>
      <c r="AA18" s="1" t="s">
        <v>209</v>
      </c>
    </row>
    <row r="19">
      <c r="A19" s="1" t="s">
        <v>210</v>
      </c>
      <c r="B19" s="1" t="s">
        <v>21</v>
      </c>
      <c r="C19" s="1" t="s">
        <v>211</v>
      </c>
      <c r="E19" s="2" t="s">
        <v>218</v>
      </c>
      <c r="G19" s="1" t="s">
        <v>1431</v>
      </c>
      <c r="I19" s="1" t="s">
        <v>213</v>
      </c>
      <c r="J19" s="1" t="s">
        <v>212</v>
      </c>
      <c r="K19" s="3" t="b">
        <v>1</v>
      </c>
      <c r="L19" s="1" t="s">
        <v>85</v>
      </c>
      <c r="M19" s="1" t="s">
        <v>211</v>
      </c>
      <c r="N19" s="2" t="s">
        <v>23</v>
      </c>
      <c r="O19" s="2" t="s">
        <v>86</v>
      </c>
      <c r="Q19" s="1" t="s">
        <v>214</v>
      </c>
      <c r="R19" s="2" t="s">
        <v>216</v>
      </c>
      <c r="S19" s="1" t="s">
        <v>89</v>
      </c>
      <c r="T19" s="4" t="str">
        <f>IMAGE("https://drive.google.com/uc?id=1LPgH6UL8bQf9gNrRe7uOfOdMCj2WTCX0")</f>
        <v/>
      </c>
      <c r="U19" s="1" t="s">
        <v>94</v>
      </c>
      <c r="V19" s="1" t="s">
        <v>215</v>
      </c>
      <c r="W19" s="3">
        <v>6.0</v>
      </c>
      <c r="X19" s="1" t="s">
        <v>91</v>
      </c>
      <c r="Y19" s="1" t="s">
        <v>217</v>
      </c>
      <c r="Z19" s="1" t="s">
        <v>22</v>
      </c>
      <c r="AA19" s="1" t="s">
        <v>219</v>
      </c>
    </row>
    <row r="20">
      <c r="A20" s="1" t="s">
        <v>220</v>
      </c>
      <c r="B20" s="1" t="s">
        <v>21</v>
      </c>
      <c r="C20" s="1" t="s">
        <v>221</v>
      </c>
      <c r="E20" s="2" t="s">
        <v>228</v>
      </c>
      <c r="G20" s="1" t="s">
        <v>1431</v>
      </c>
      <c r="I20" s="1" t="s">
        <v>223</v>
      </c>
      <c r="J20" s="1" t="s">
        <v>222</v>
      </c>
      <c r="K20" s="3" t="b">
        <v>1</v>
      </c>
      <c r="L20" s="1" t="s">
        <v>85</v>
      </c>
      <c r="M20" s="1" t="s">
        <v>221</v>
      </c>
      <c r="N20" s="2" t="s">
        <v>23</v>
      </c>
      <c r="O20" s="2" t="s">
        <v>86</v>
      </c>
      <c r="Q20" s="1" t="s">
        <v>224</v>
      </c>
      <c r="R20" s="2" t="s">
        <v>226</v>
      </c>
      <c r="S20" s="1" t="s">
        <v>89</v>
      </c>
      <c r="T20" s="4" t="str">
        <f>IMAGE("https://drive.google.com/uc?id=1M9asYKpO46bvcdqPMJjAgSp8LVbeRykh")</f>
        <v/>
      </c>
      <c r="U20" s="1" t="s">
        <v>94</v>
      </c>
      <c r="V20" s="1" t="s">
        <v>225</v>
      </c>
      <c r="W20" s="3">
        <v>3.0</v>
      </c>
      <c r="X20" s="1" t="s">
        <v>91</v>
      </c>
      <c r="Y20" s="1" t="s">
        <v>227</v>
      </c>
      <c r="Z20" s="1" t="s">
        <v>22</v>
      </c>
      <c r="AA20" s="1" t="s">
        <v>229</v>
      </c>
    </row>
    <row r="21">
      <c r="A21" s="1" t="s">
        <v>230</v>
      </c>
      <c r="B21" s="1" t="s">
        <v>5</v>
      </c>
      <c r="C21" s="1" t="s">
        <v>231</v>
      </c>
      <c r="E21" s="2" t="s">
        <v>238</v>
      </c>
      <c r="G21" s="1" t="s">
        <v>1431</v>
      </c>
      <c r="I21" s="1" t="s">
        <v>233</v>
      </c>
      <c r="J21" s="1" t="s">
        <v>232</v>
      </c>
      <c r="K21" s="3" t="b">
        <v>1</v>
      </c>
      <c r="L21" s="1" t="s">
        <v>85</v>
      </c>
      <c r="M21" s="1" t="s">
        <v>231</v>
      </c>
      <c r="N21" s="2" t="s">
        <v>7</v>
      </c>
      <c r="O21" s="2" t="s">
        <v>86</v>
      </c>
      <c r="Q21" s="1" t="s">
        <v>234</v>
      </c>
      <c r="R21" s="2" t="s">
        <v>236</v>
      </c>
      <c r="S21" s="1" t="s">
        <v>89</v>
      </c>
      <c r="T21" s="4" t="str">
        <f>IMAGE("https://drive.google.com/uc?id=1cTMMIm-Rd2r5NIGmlo1_3tLtWFUcG9Hz")</f>
        <v/>
      </c>
      <c r="U21" s="1" t="s">
        <v>94</v>
      </c>
      <c r="V21" s="1" t="s">
        <v>235</v>
      </c>
      <c r="W21" s="3">
        <v>4.0</v>
      </c>
      <c r="X21" s="1" t="s">
        <v>91</v>
      </c>
      <c r="Y21" s="1" t="s">
        <v>237</v>
      </c>
      <c r="Z21" s="1" t="s">
        <v>6</v>
      </c>
      <c r="AA21" s="1" t="s">
        <v>239</v>
      </c>
    </row>
    <row r="22">
      <c r="A22" s="1" t="s">
        <v>240</v>
      </c>
      <c r="B22" s="1" t="s">
        <v>5</v>
      </c>
      <c r="C22" s="1" t="s">
        <v>241</v>
      </c>
      <c r="E22" s="2" t="s">
        <v>248</v>
      </c>
      <c r="G22" s="1" t="s">
        <v>1431</v>
      </c>
      <c r="I22" s="1" t="s">
        <v>243</v>
      </c>
      <c r="J22" s="1" t="s">
        <v>242</v>
      </c>
      <c r="K22" s="3" t="b">
        <v>1</v>
      </c>
      <c r="L22" s="1" t="s">
        <v>85</v>
      </c>
      <c r="M22" s="1" t="s">
        <v>241</v>
      </c>
      <c r="N22" s="2" t="s">
        <v>7</v>
      </c>
      <c r="O22" s="2" t="s">
        <v>86</v>
      </c>
      <c r="Q22" s="1" t="s">
        <v>244</v>
      </c>
      <c r="R22" s="2" t="s">
        <v>246</v>
      </c>
      <c r="S22" s="1" t="s">
        <v>89</v>
      </c>
      <c r="T22" s="4" t="str">
        <f>IMAGE("https://drive.google.com/uc?id=1z1r-BppxMKEg-MMC-JJspDJqEMlVZYCv")</f>
        <v/>
      </c>
      <c r="U22" s="1" t="s">
        <v>94</v>
      </c>
      <c r="V22" s="1" t="s">
        <v>245</v>
      </c>
      <c r="W22" s="3">
        <v>19.0</v>
      </c>
      <c r="X22" s="1" t="s">
        <v>91</v>
      </c>
      <c r="Y22" s="1" t="s">
        <v>247</v>
      </c>
      <c r="Z22" s="1" t="s">
        <v>6</v>
      </c>
      <c r="AA22" s="1" t="s">
        <v>249</v>
      </c>
    </row>
    <row r="23">
      <c r="A23" s="1" t="s">
        <v>250</v>
      </c>
      <c r="B23" s="1" t="s">
        <v>5</v>
      </c>
      <c r="C23" s="1" t="s">
        <v>251</v>
      </c>
      <c r="E23" s="2" t="s">
        <v>258</v>
      </c>
      <c r="G23" s="1" t="s">
        <v>1431</v>
      </c>
      <c r="I23" s="1" t="s">
        <v>253</v>
      </c>
      <c r="J23" s="1" t="s">
        <v>252</v>
      </c>
      <c r="K23" s="3" t="b">
        <v>1</v>
      </c>
      <c r="L23" s="1" t="s">
        <v>85</v>
      </c>
      <c r="M23" s="1" t="s">
        <v>251</v>
      </c>
      <c r="N23" s="2" t="s">
        <v>7</v>
      </c>
      <c r="O23" s="2" t="s">
        <v>86</v>
      </c>
      <c r="Q23" s="1" t="s">
        <v>254</v>
      </c>
      <c r="R23" s="2" t="s">
        <v>256</v>
      </c>
      <c r="S23" s="1" t="s">
        <v>89</v>
      </c>
      <c r="T23" s="4" t="str">
        <f>IMAGE("https://drive.google.com/uc?id=1fCjDFQs9v0baMrly6Ck4CbGOLNnmfkUr")</f>
        <v/>
      </c>
      <c r="U23" s="1" t="s">
        <v>94</v>
      </c>
      <c r="V23" s="1" t="s">
        <v>255</v>
      </c>
      <c r="W23" s="3">
        <v>3.0</v>
      </c>
      <c r="X23" s="1" t="s">
        <v>91</v>
      </c>
      <c r="Y23" s="1" t="s">
        <v>257</v>
      </c>
      <c r="Z23" s="1" t="s">
        <v>6</v>
      </c>
      <c r="AA23" s="1" t="s">
        <v>259</v>
      </c>
    </row>
    <row r="24">
      <c r="A24" s="1" t="s">
        <v>260</v>
      </c>
      <c r="B24" s="1" t="s">
        <v>5</v>
      </c>
      <c r="C24" s="1" t="s">
        <v>1447</v>
      </c>
      <c r="E24" s="2" t="s">
        <v>1448</v>
      </c>
      <c r="G24" s="1" t="s">
        <v>1431</v>
      </c>
      <c r="I24" s="1" t="s">
        <v>1449</v>
      </c>
      <c r="J24" s="1" t="s">
        <v>1450</v>
      </c>
      <c r="K24" s="3" t="b">
        <v>1</v>
      </c>
      <c r="L24" s="1" t="s">
        <v>85</v>
      </c>
      <c r="M24" s="1" t="s">
        <v>1447</v>
      </c>
      <c r="N24" s="2" t="s">
        <v>7</v>
      </c>
      <c r="O24" s="2" t="s">
        <v>86</v>
      </c>
      <c r="Q24" s="1" t="s">
        <v>1451</v>
      </c>
      <c r="R24" s="2" t="s">
        <v>1452</v>
      </c>
      <c r="S24" s="1" t="s">
        <v>89</v>
      </c>
      <c r="T24" s="4" t="str">
        <f>IMAGE("https://drive.google.com/uc?id=1DQNDikY-cOUTJaeYnxxtmz9FstChiWoM")</f>
        <v/>
      </c>
      <c r="U24" s="1" t="s">
        <v>94</v>
      </c>
      <c r="V24" s="1" t="s">
        <v>1453</v>
      </c>
      <c r="W24" s="3">
        <v>19.0</v>
      </c>
      <c r="X24" s="1" t="s">
        <v>91</v>
      </c>
      <c r="Y24" s="1" t="s">
        <v>1454</v>
      </c>
      <c r="Z24" s="1" t="s">
        <v>6</v>
      </c>
      <c r="AA24" s="1" t="s">
        <v>1455</v>
      </c>
    </row>
    <row r="25">
      <c r="A25" s="1" t="s">
        <v>270</v>
      </c>
      <c r="B25" s="1" t="s">
        <v>5</v>
      </c>
      <c r="C25" s="1" t="s">
        <v>271</v>
      </c>
      <c r="E25" s="2" t="s">
        <v>278</v>
      </c>
      <c r="G25" s="1" t="s">
        <v>1431</v>
      </c>
      <c r="I25" s="1" t="s">
        <v>273</v>
      </c>
      <c r="J25" s="1" t="s">
        <v>272</v>
      </c>
      <c r="K25" s="3" t="b">
        <v>1</v>
      </c>
      <c r="L25" s="1" t="s">
        <v>85</v>
      </c>
      <c r="M25" s="1" t="s">
        <v>271</v>
      </c>
      <c r="N25" s="2" t="s">
        <v>7</v>
      </c>
      <c r="O25" s="2" t="s">
        <v>86</v>
      </c>
      <c r="Q25" s="1" t="s">
        <v>274</v>
      </c>
      <c r="R25" s="2" t="s">
        <v>276</v>
      </c>
      <c r="S25" s="1" t="s">
        <v>89</v>
      </c>
      <c r="T25" s="4" t="str">
        <f>IMAGE("https://drive.google.com/uc?id=1CQym4nGzVI4Ln7VDzRRsvfZWoe42KM3f")</f>
        <v/>
      </c>
      <c r="U25" s="1" t="s">
        <v>94</v>
      </c>
      <c r="V25" s="1" t="s">
        <v>275</v>
      </c>
      <c r="W25" s="3">
        <v>4.0</v>
      </c>
      <c r="X25" s="1" t="s">
        <v>91</v>
      </c>
      <c r="Y25" s="1" t="s">
        <v>277</v>
      </c>
      <c r="Z25" s="1" t="s">
        <v>6</v>
      </c>
      <c r="AA25" s="1" t="s">
        <v>279</v>
      </c>
    </row>
    <row r="26">
      <c r="A26" s="1" t="s">
        <v>280</v>
      </c>
      <c r="B26" s="1" t="s">
        <v>5</v>
      </c>
      <c r="C26" s="1" t="s">
        <v>281</v>
      </c>
      <c r="E26" s="2" t="s">
        <v>288</v>
      </c>
      <c r="G26" s="1" t="s">
        <v>1431</v>
      </c>
      <c r="I26" s="1" t="s">
        <v>283</v>
      </c>
      <c r="J26" s="1" t="s">
        <v>282</v>
      </c>
      <c r="K26" s="3" t="b">
        <v>1</v>
      </c>
      <c r="L26" s="1" t="s">
        <v>85</v>
      </c>
      <c r="M26" s="1" t="s">
        <v>281</v>
      </c>
      <c r="N26" s="2" t="s">
        <v>7</v>
      </c>
      <c r="O26" s="2" t="s">
        <v>86</v>
      </c>
      <c r="Q26" s="1" t="s">
        <v>284</v>
      </c>
      <c r="R26" s="2" t="s">
        <v>286</v>
      </c>
      <c r="S26" s="1" t="s">
        <v>89</v>
      </c>
      <c r="T26" s="4" t="str">
        <f>IMAGE("https://drive.google.com/uc?id=1EgZXIi16Sv4Fsy2P1_pU6AHL6abBtQku")</f>
        <v/>
      </c>
      <c r="U26" s="1" t="s">
        <v>94</v>
      </c>
      <c r="V26" s="1" t="s">
        <v>285</v>
      </c>
      <c r="W26" s="3">
        <v>3.0</v>
      </c>
      <c r="X26" s="1" t="s">
        <v>91</v>
      </c>
      <c r="Y26" s="1" t="s">
        <v>287</v>
      </c>
      <c r="Z26" s="1" t="s">
        <v>6</v>
      </c>
      <c r="AA26" s="1" t="s">
        <v>289</v>
      </c>
    </row>
    <row r="27">
      <c r="A27" s="1" t="s">
        <v>290</v>
      </c>
      <c r="B27" s="1" t="s">
        <v>5</v>
      </c>
      <c r="C27" s="1" t="s">
        <v>291</v>
      </c>
      <c r="E27" s="2" t="s">
        <v>298</v>
      </c>
      <c r="G27" s="1" t="s">
        <v>1431</v>
      </c>
      <c r="I27" s="1" t="s">
        <v>293</v>
      </c>
      <c r="J27" s="1" t="s">
        <v>292</v>
      </c>
      <c r="K27" s="3" t="b">
        <v>1</v>
      </c>
      <c r="L27" s="1" t="s">
        <v>85</v>
      </c>
      <c r="M27" s="1" t="s">
        <v>291</v>
      </c>
      <c r="N27" s="2" t="s">
        <v>7</v>
      </c>
      <c r="O27" s="2" t="s">
        <v>86</v>
      </c>
      <c r="Q27" s="1" t="s">
        <v>294</v>
      </c>
      <c r="R27" s="2" t="s">
        <v>296</v>
      </c>
      <c r="S27" s="1" t="s">
        <v>89</v>
      </c>
      <c r="T27" s="4" t="str">
        <f>IMAGE("https://drive.google.com/uc?id=1KGIdPh3dKlnuumvkcGkB4NdrN3-Ycf3k")</f>
        <v/>
      </c>
      <c r="U27" s="1" t="s">
        <v>94</v>
      </c>
      <c r="V27" s="1" t="s">
        <v>295</v>
      </c>
      <c r="W27" s="3">
        <v>3.0</v>
      </c>
      <c r="X27" s="1" t="s">
        <v>91</v>
      </c>
      <c r="Y27" s="1" t="s">
        <v>297</v>
      </c>
      <c r="Z27" s="1" t="s">
        <v>6</v>
      </c>
      <c r="AA27" s="1" t="s">
        <v>299</v>
      </c>
    </row>
    <row r="28">
      <c r="A28" s="1" t="s">
        <v>300</v>
      </c>
      <c r="B28" s="1" t="s">
        <v>5</v>
      </c>
      <c r="C28" s="1" t="s">
        <v>301</v>
      </c>
      <c r="E28" s="2" t="s">
        <v>308</v>
      </c>
      <c r="G28" s="1" t="s">
        <v>1431</v>
      </c>
      <c r="I28" s="1" t="s">
        <v>303</v>
      </c>
      <c r="J28" s="1" t="s">
        <v>302</v>
      </c>
      <c r="K28" s="3" t="b">
        <v>1</v>
      </c>
      <c r="L28" s="1" t="s">
        <v>85</v>
      </c>
      <c r="M28" s="1" t="s">
        <v>301</v>
      </c>
      <c r="N28" s="2" t="s">
        <v>7</v>
      </c>
      <c r="O28" s="2" t="s">
        <v>86</v>
      </c>
      <c r="Q28" s="1" t="s">
        <v>304</v>
      </c>
      <c r="R28" s="2" t="s">
        <v>306</v>
      </c>
      <c r="S28" s="1" t="s">
        <v>89</v>
      </c>
      <c r="T28" s="4" t="str">
        <f>IMAGE("https://drive.google.com/uc?id=1ytQiJJXh4295OKriw7M2JDmescijXyUY")</f>
        <v/>
      </c>
      <c r="U28" s="1" t="s">
        <v>94</v>
      </c>
      <c r="V28" s="1" t="s">
        <v>305</v>
      </c>
      <c r="W28" s="3">
        <v>3.0</v>
      </c>
      <c r="X28" s="1" t="s">
        <v>91</v>
      </c>
      <c r="Y28" s="1" t="s">
        <v>307</v>
      </c>
      <c r="Z28" s="1" t="s">
        <v>6</v>
      </c>
      <c r="AA28" s="1" t="s">
        <v>309</v>
      </c>
    </row>
    <row r="29">
      <c r="A29" s="1" t="s">
        <v>260</v>
      </c>
      <c r="B29" s="1" t="s">
        <v>5</v>
      </c>
      <c r="C29" s="1" t="s">
        <v>261</v>
      </c>
      <c r="E29" s="2" t="s">
        <v>268</v>
      </c>
      <c r="G29" s="1" t="s">
        <v>1439</v>
      </c>
      <c r="I29" s="1" t="s">
        <v>263</v>
      </c>
      <c r="J29" s="1" t="s">
        <v>262</v>
      </c>
      <c r="K29" s="3" t="b">
        <v>1</v>
      </c>
      <c r="L29" s="1" t="s">
        <v>85</v>
      </c>
      <c r="M29" s="1" t="s">
        <v>261</v>
      </c>
      <c r="N29" s="2" t="s">
        <v>7</v>
      </c>
      <c r="O29" s="2" t="s">
        <v>86</v>
      </c>
      <c r="Q29" s="1" t="s">
        <v>264</v>
      </c>
      <c r="R29" s="2" t="s">
        <v>266</v>
      </c>
      <c r="S29" s="1" t="s">
        <v>89</v>
      </c>
      <c r="T29" s="4" t="str">
        <f>IMAGE("https://drive.google.com/uc?id=1dOWX1f_hzv31hPIJSsKaTMTd44pmr8rc")</f>
        <v/>
      </c>
      <c r="U29" s="1" t="s">
        <v>94</v>
      </c>
      <c r="V29" s="1" t="s">
        <v>265</v>
      </c>
      <c r="W29" s="3">
        <v>7.0</v>
      </c>
      <c r="X29" s="1" t="s">
        <v>91</v>
      </c>
      <c r="Y29" s="1" t="s">
        <v>267</v>
      </c>
      <c r="Z29" s="1" t="s">
        <v>6</v>
      </c>
      <c r="AA29" s="1" t="s">
        <v>269</v>
      </c>
    </row>
    <row r="30">
      <c r="A30" s="1" t="s">
        <v>310</v>
      </c>
      <c r="B30" s="1" t="s">
        <v>17</v>
      </c>
      <c r="C30" s="1" t="s">
        <v>311</v>
      </c>
      <c r="E30" s="2" t="s">
        <v>318</v>
      </c>
      <c r="G30" s="1" t="s">
        <v>1431</v>
      </c>
      <c r="I30" s="1" t="s">
        <v>313</v>
      </c>
      <c r="J30" s="1" t="s">
        <v>312</v>
      </c>
      <c r="K30" s="3" t="b">
        <v>1</v>
      </c>
      <c r="L30" s="1" t="s">
        <v>85</v>
      </c>
      <c r="M30" s="1" t="s">
        <v>311</v>
      </c>
      <c r="N30" s="2" t="s">
        <v>19</v>
      </c>
      <c r="O30" s="2" t="s">
        <v>86</v>
      </c>
      <c r="Q30" s="1" t="s">
        <v>314</v>
      </c>
      <c r="R30" s="2" t="s">
        <v>316</v>
      </c>
      <c r="S30" s="1" t="s">
        <v>89</v>
      </c>
      <c r="T30" s="4" t="str">
        <f>IMAGE("https://drive.google.com/uc?id=1Ur12ZOQunHUze7V2SnkQ_9n8vnX4bwcC")</f>
        <v/>
      </c>
      <c r="U30" s="1" t="s">
        <v>94</v>
      </c>
      <c r="V30" s="1" t="s">
        <v>315</v>
      </c>
      <c r="W30" s="3">
        <v>3.0</v>
      </c>
      <c r="X30" s="1" t="s">
        <v>91</v>
      </c>
      <c r="Y30" s="1" t="s">
        <v>317</v>
      </c>
      <c r="Z30" s="1" t="s">
        <v>18</v>
      </c>
      <c r="AA30" s="1" t="s">
        <v>319</v>
      </c>
    </row>
    <row r="31">
      <c r="A31" s="1" t="s">
        <v>320</v>
      </c>
      <c r="B31" s="1" t="s">
        <v>17</v>
      </c>
      <c r="C31" s="1" t="s">
        <v>321</v>
      </c>
      <c r="G31" s="1" t="s">
        <v>1439</v>
      </c>
      <c r="I31" s="1" t="s">
        <v>323</v>
      </c>
      <c r="J31" s="1" t="s">
        <v>322</v>
      </c>
      <c r="K31" s="3" t="b">
        <v>1</v>
      </c>
      <c r="L31" s="1" t="s">
        <v>85</v>
      </c>
      <c r="M31" s="1" t="s">
        <v>321</v>
      </c>
      <c r="N31" s="2" t="s">
        <v>19</v>
      </c>
      <c r="O31" s="2" t="s">
        <v>86</v>
      </c>
      <c r="Q31" s="1" t="s">
        <v>1456</v>
      </c>
      <c r="S31" s="1" t="s">
        <v>1421</v>
      </c>
      <c r="U31" s="1" t="s">
        <v>1457</v>
      </c>
      <c r="V31" s="1" t="s">
        <v>1458</v>
      </c>
      <c r="W31" s="3">
        <v>20.0</v>
      </c>
      <c r="X31" s="1" t="s">
        <v>1421</v>
      </c>
      <c r="Z31" s="1" t="s">
        <v>18</v>
      </c>
      <c r="AA31" s="1" t="s">
        <v>1459</v>
      </c>
    </row>
    <row r="32">
      <c r="A32" s="1" t="s">
        <v>324</v>
      </c>
      <c r="B32" s="1" t="s">
        <v>17</v>
      </c>
      <c r="C32" s="1" t="s">
        <v>325</v>
      </c>
      <c r="E32" s="2" t="s">
        <v>332</v>
      </c>
      <c r="G32" s="1" t="s">
        <v>1431</v>
      </c>
      <c r="I32" s="1" t="s">
        <v>327</v>
      </c>
      <c r="J32" s="1" t="s">
        <v>326</v>
      </c>
      <c r="K32" s="3" t="b">
        <v>1</v>
      </c>
      <c r="L32" s="1" t="s">
        <v>85</v>
      </c>
      <c r="M32" s="1" t="s">
        <v>325</v>
      </c>
      <c r="N32" s="2" t="s">
        <v>19</v>
      </c>
      <c r="O32" s="2" t="s">
        <v>86</v>
      </c>
      <c r="Q32" s="1" t="s">
        <v>328</v>
      </c>
      <c r="R32" s="2" t="s">
        <v>330</v>
      </c>
      <c r="S32" s="1" t="s">
        <v>89</v>
      </c>
      <c r="T32" s="4" t="str">
        <f>IMAGE("https://drive.google.com/uc?id=1ojBIubLRe57p05nJAOfdns2jpiD4VQ63")</f>
        <v/>
      </c>
      <c r="U32" s="1" t="s">
        <v>94</v>
      </c>
      <c r="V32" s="1" t="s">
        <v>329</v>
      </c>
      <c r="W32" s="3">
        <v>3.0</v>
      </c>
      <c r="X32" s="1" t="s">
        <v>91</v>
      </c>
      <c r="Y32" s="1" t="s">
        <v>331</v>
      </c>
      <c r="Z32" s="1" t="s">
        <v>18</v>
      </c>
      <c r="AA32" s="1" t="s">
        <v>333</v>
      </c>
    </row>
    <row r="33">
      <c r="A33" s="1" t="s">
        <v>334</v>
      </c>
      <c r="B33" s="1" t="s">
        <v>17</v>
      </c>
      <c r="C33" s="1" t="s">
        <v>335</v>
      </c>
      <c r="E33" s="2" t="s">
        <v>342</v>
      </c>
      <c r="G33" s="1" t="s">
        <v>1431</v>
      </c>
      <c r="I33" s="1" t="s">
        <v>337</v>
      </c>
      <c r="J33" s="1" t="s">
        <v>336</v>
      </c>
      <c r="K33" s="3" t="b">
        <v>1</v>
      </c>
      <c r="L33" s="1" t="s">
        <v>85</v>
      </c>
      <c r="M33" s="1" t="s">
        <v>335</v>
      </c>
      <c r="N33" s="2" t="s">
        <v>19</v>
      </c>
      <c r="O33" s="2" t="s">
        <v>86</v>
      </c>
      <c r="Q33" s="1" t="s">
        <v>338</v>
      </c>
      <c r="R33" s="2" t="s">
        <v>340</v>
      </c>
      <c r="S33" s="1" t="s">
        <v>89</v>
      </c>
      <c r="T33" s="4" t="str">
        <f>IMAGE("https://drive.google.com/uc?id=1DuNK1hvj6hiqW9cGaCR-G1wC_doeCnyV")</f>
        <v/>
      </c>
      <c r="U33" s="1" t="s">
        <v>94</v>
      </c>
      <c r="V33" s="1" t="s">
        <v>339</v>
      </c>
      <c r="W33" s="3">
        <v>4.0</v>
      </c>
      <c r="X33" s="1" t="s">
        <v>91</v>
      </c>
      <c r="Y33" s="1" t="s">
        <v>341</v>
      </c>
      <c r="Z33" s="1" t="s">
        <v>18</v>
      </c>
      <c r="AA33" s="1" t="s">
        <v>343</v>
      </c>
    </row>
    <row r="34">
      <c r="A34" s="1" t="s">
        <v>344</v>
      </c>
      <c r="B34" s="1" t="s">
        <v>17</v>
      </c>
      <c r="C34" s="1" t="s">
        <v>345</v>
      </c>
      <c r="E34" s="2" t="s">
        <v>352</v>
      </c>
      <c r="G34" s="1" t="s">
        <v>1431</v>
      </c>
      <c r="I34" s="1" t="s">
        <v>347</v>
      </c>
      <c r="J34" s="1" t="s">
        <v>346</v>
      </c>
      <c r="K34" s="3" t="b">
        <v>1</v>
      </c>
      <c r="L34" s="1" t="s">
        <v>85</v>
      </c>
      <c r="M34" s="1" t="s">
        <v>345</v>
      </c>
      <c r="N34" s="2" t="s">
        <v>19</v>
      </c>
      <c r="O34" s="2" t="s">
        <v>86</v>
      </c>
      <c r="Q34" s="1" t="s">
        <v>348</v>
      </c>
      <c r="R34" s="2" t="s">
        <v>350</v>
      </c>
      <c r="S34" s="1" t="s">
        <v>89</v>
      </c>
      <c r="T34" s="4" t="str">
        <f>IMAGE("https://drive.google.com/uc?id=1X0hT5NlDkBvTNS_WOStaX30kWNOWYP9D")</f>
        <v/>
      </c>
      <c r="U34" s="1" t="s">
        <v>94</v>
      </c>
      <c r="V34" s="1" t="s">
        <v>349</v>
      </c>
      <c r="W34" s="3">
        <v>3.0</v>
      </c>
      <c r="X34" s="1" t="s">
        <v>91</v>
      </c>
      <c r="Y34" s="1" t="s">
        <v>351</v>
      </c>
      <c r="Z34" s="1" t="s">
        <v>18</v>
      </c>
      <c r="AA34" s="1" t="s">
        <v>353</v>
      </c>
    </row>
    <row r="35">
      <c r="A35" s="1" t="s">
        <v>354</v>
      </c>
      <c r="B35" s="1" t="s">
        <v>17</v>
      </c>
      <c r="C35" s="1" t="s">
        <v>355</v>
      </c>
      <c r="E35" s="2" t="s">
        <v>362</v>
      </c>
      <c r="G35" s="1" t="s">
        <v>1431</v>
      </c>
      <c r="I35" s="1" t="s">
        <v>357</v>
      </c>
      <c r="J35" s="1" t="s">
        <v>356</v>
      </c>
      <c r="K35" s="3" t="b">
        <v>1</v>
      </c>
      <c r="L35" s="1" t="s">
        <v>85</v>
      </c>
      <c r="M35" s="1" t="s">
        <v>355</v>
      </c>
      <c r="N35" s="2" t="s">
        <v>19</v>
      </c>
      <c r="O35" s="2" t="s">
        <v>86</v>
      </c>
      <c r="Q35" s="1" t="s">
        <v>358</v>
      </c>
      <c r="R35" s="2" t="s">
        <v>360</v>
      </c>
      <c r="S35" s="1" t="s">
        <v>89</v>
      </c>
      <c r="T35" s="4" t="str">
        <f>IMAGE("https://drive.google.com/uc?id=1qoJNYYcQOcAyYXvqpK9g7vbYnKjREQzq")</f>
        <v/>
      </c>
      <c r="U35" s="1" t="s">
        <v>94</v>
      </c>
      <c r="V35" s="1" t="s">
        <v>359</v>
      </c>
      <c r="W35" s="3">
        <v>3.0</v>
      </c>
      <c r="X35" s="1" t="s">
        <v>91</v>
      </c>
      <c r="Y35" s="1" t="s">
        <v>361</v>
      </c>
      <c r="Z35" s="1" t="s">
        <v>18</v>
      </c>
      <c r="AA35" s="1" t="s">
        <v>363</v>
      </c>
    </row>
    <row r="36">
      <c r="A36" s="1" t="s">
        <v>364</v>
      </c>
      <c r="B36" s="1" t="s">
        <v>17</v>
      </c>
      <c r="C36" s="1" t="s">
        <v>365</v>
      </c>
      <c r="E36" s="2" t="s">
        <v>372</v>
      </c>
      <c r="G36" s="1" t="s">
        <v>1431</v>
      </c>
      <c r="I36" s="1" t="s">
        <v>367</v>
      </c>
      <c r="J36" s="1" t="s">
        <v>366</v>
      </c>
      <c r="K36" s="3" t="b">
        <v>1</v>
      </c>
      <c r="L36" s="1" t="s">
        <v>85</v>
      </c>
      <c r="M36" s="1" t="s">
        <v>365</v>
      </c>
      <c r="N36" s="2" t="s">
        <v>19</v>
      </c>
      <c r="O36" s="2" t="s">
        <v>86</v>
      </c>
      <c r="Q36" s="1" t="s">
        <v>368</v>
      </c>
      <c r="R36" s="2" t="s">
        <v>370</v>
      </c>
      <c r="S36" s="1" t="s">
        <v>89</v>
      </c>
      <c r="T36" s="4" t="str">
        <f>IMAGE("https://drive.google.com/uc?id=1bnLhXbz_5EBH3Kofl6YsdlRA72OaN229")</f>
        <v/>
      </c>
      <c r="U36" s="1" t="s">
        <v>94</v>
      </c>
      <c r="V36" s="1" t="s">
        <v>369</v>
      </c>
      <c r="W36" s="3">
        <v>3.0</v>
      </c>
      <c r="X36" s="1" t="s">
        <v>91</v>
      </c>
      <c r="Y36" s="1" t="s">
        <v>371</v>
      </c>
      <c r="Z36" s="1" t="s">
        <v>18</v>
      </c>
      <c r="AA36" s="1" t="s">
        <v>373</v>
      </c>
    </row>
    <row r="37">
      <c r="A37" s="1" t="s">
        <v>374</v>
      </c>
      <c r="B37" s="1" t="s">
        <v>9</v>
      </c>
      <c r="C37" s="1" t="s">
        <v>375</v>
      </c>
      <c r="E37" s="2" t="s">
        <v>382</v>
      </c>
      <c r="G37" s="1" t="s">
        <v>1431</v>
      </c>
      <c r="I37" s="1" t="s">
        <v>377</v>
      </c>
      <c r="J37" s="1" t="s">
        <v>376</v>
      </c>
      <c r="K37" s="3" t="b">
        <v>1</v>
      </c>
      <c r="L37" s="1" t="s">
        <v>85</v>
      </c>
      <c r="M37" s="1" t="s">
        <v>375</v>
      </c>
      <c r="N37" s="2" t="s">
        <v>11</v>
      </c>
      <c r="O37" s="2" t="s">
        <v>86</v>
      </c>
      <c r="Q37" s="1" t="s">
        <v>378</v>
      </c>
      <c r="R37" s="2" t="s">
        <v>380</v>
      </c>
      <c r="S37" s="1" t="s">
        <v>89</v>
      </c>
      <c r="T37" s="4" t="str">
        <f>IMAGE("https://drive.google.com/uc?id=13HQN30YfvsyUTQ6hkODY9IaMv2_k9T0j")</f>
        <v/>
      </c>
      <c r="U37" s="1" t="s">
        <v>94</v>
      </c>
      <c r="V37" s="1" t="s">
        <v>379</v>
      </c>
      <c r="W37" s="3">
        <v>6.0</v>
      </c>
      <c r="X37" s="1" t="s">
        <v>91</v>
      </c>
      <c r="Y37" s="1" t="s">
        <v>381</v>
      </c>
      <c r="Z37" s="1" t="s">
        <v>10</v>
      </c>
      <c r="AA37" s="1" t="s">
        <v>383</v>
      </c>
    </row>
    <row r="38">
      <c r="A38" s="1" t="s">
        <v>384</v>
      </c>
      <c r="B38" s="1" t="s">
        <v>9</v>
      </c>
      <c r="C38" s="1" t="s">
        <v>385</v>
      </c>
      <c r="E38" s="2" t="s">
        <v>392</v>
      </c>
      <c r="G38" s="1" t="s">
        <v>1431</v>
      </c>
      <c r="I38" s="1" t="s">
        <v>387</v>
      </c>
      <c r="J38" s="1" t="s">
        <v>386</v>
      </c>
      <c r="K38" s="3" t="b">
        <v>1</v>
      </c>
      <c r="L38" s="1" t="s">
        <v>85</v>
      </c>
      <c r="M38" s="1" t="s">
        <v>385</v>
      </c>
      <c r="N38" s="2" t="s">
        <v>11</v>
      </c>
      <c r="O38" s="2" t="s">
        <v>86</v>
      </c>
      <c r="Q38" s="1" t="s">
        <v>388</v>
      </c>
      <c r="R38" s="2" t="s">
        <v>390</v>
      </c>
      <c r="S38" s="1" t="s">
        <v>89</v>
      </c>
      <c r="T38" s="4" t="str">
        <f>IMAGE("https://drive.google.com/uc?id=1keo6_y6jTvWaHMW9FNIqpJdrccQLMDOy")</f>
        <v/>
      </c>
      <c r="U38" s="1" t="s">
        <v>94</v>
      </c>
      <c r="V38" s="1" t="s">
        <v>389</v>
      </c>
      <c r="W38" s="3">
        <v>6.0</v>
      </c>
      <c r="X38" s="1" t="s">
        <v>91</v>
      </c>
      <c r="Y38" s="1" t="s">
        <v>391</v>
      </c>
      <c r="Z38" s="1" t="s">
        <v>10</v>
      </c>
      <c r="AA38" s="1" t="s">
        <v>393</v>
      </c>
    </row>
    <row r="39">
      <c r="A39" s="1" t="s">
        <v>394</v>
      </c>
      <c r="B39" s="1" t="s">
        <v>9</v>
      </c>
      <c r="C39" s="1" t="s">
        <v>395</v>
      </c>
      <c r="E39" s="2" t="s">
        <v>402</v>
      </c>
      <c r="G39" s="1" t="s">
        <v>1431</v>
      </c>
      <c r="I39" s="1" t="s">
        <v>397</v>
      </c>
      <c r="J39" s="1" t="s">
        <v>396</v>
      </c>
      <c r="K39" s="3" t="b">
        <v>1</v>
      </c>
      <c r="L39" s="1" t="s">
        <v>85</v>
      </c>
      <c r="M39" s="1" t="s">
        <v>395</v>
      </c>
      <c r="N39" s="2" t="s">
        <v>11</v>
      </c>
      <c r="O39" s="2" t="s">
        <v>86</v>
      </c>
      <c r="Q39" s="1" t="s">
        <v>398</v>
      </c>
      <c r="R39" s="2" t="s">
        <v>400</v>
      </c>
      <c r="S39" s="1" t="s">
        <v>89</v>
      </c>
      <c r="T39" s="4" t="str">
        <f>IMAGE("https://drive.google.com/uc?id=1vbLKasCrw13RGFBdXU8_UrWazvq71aT-")</f>
        <v/>
      </c>
      <c r="U39" s="1" t="s">
        <v>94</v>
      </c>
      <c r="V39" s="1" t="s">
        <v>399</v>
      </c>
      <c r="W39" s="3">
        <v>6.0</v>
      </c>
      <c r="X39" s="1" t="s">
        <v>91</v>
      </c>
      <c r="Y39" s="1" t="s">
        <v>401</v>
      </c>
      <c r="Z39" s="1" t="s">
        <v>10</v>
      </c>
      <c r="AA39" s="1" t="s">
        <v>403</v>
      </c>
    </row>
    <row r="40">
      <c r="A40" s="1" t="s">
        <v>404</v>
      </c>
      <c r="B40" s="1" t="s">
        <v>9</v>
      </c>
      <c r="C40" s="1" t="s">
        <v>405</v>
      </c>
      <c r="E40" s="2" t="s">
        <v>412</v>
      </c>
      <c r="G40" s="1" t="s">
        <v>1431</v>
      </c>
      <c r="I40" s="1" t="s">
        <v>407</v>
      </c>
      <c r="J40" s="1" t="s">
        <v>406</v>
      </c>
      <c r="K40" s="3" t="b">
        <v>1</v>
      </c>
      <c r="L40" s="1" t="s">
        <v>85</v>
      </c>
      <c r="M40" s="1" t="s">
        <v>405</v>
      </c>
      <c r="N40" s="2" t="s">
        <v>11</v>
      </c>
      <c r="O40" s="2" t="s">
        <v>86</v>
      </c>
      <c r="Q40" s="1" t="s">
        <v>408</v>
      </c>
      <c r="R40" s="2" t="s">
        <v>410</v>
      </c>
      <c r="S40" s="1" t="s">
        <v>89</v>
      </c>
      <c r="T40" s="4" t="str">
        <f>IMAGE("https://drive.google.com/uc?id=1oJpskGqO0DDMVakAG9VavjIaRVe9CjbS")</f>
        <v/>
      </c>
      <c r="U40" s="1" t="s">
        <v>94</v>
      </c>
      <c r="V40" s="1" t="s">
        <v>409</v>
      </c>
      <c r="W40" s="3">
        <v>6.0</v>
      </c>
      <c r="X40" s="1" t="s">
        <v>91</v>
      </c>
      <c r="Y40" s="1" t="s">
        <v>411</v>
      </c>
      <c r="Z40" s="1" t="s">
        <v>10</v>
      </c>
      <c r="AA40" s="1" t="s">
        <v>413</v>
      </c>
    </row>
    <row r="41">
      <c r="A41" s="1" t="s">
        <v>414</v>
      </c>
      <c r="B41" s="1" t="s">
        <v>9</v>
      </c>
      <c r="C41" s="1" t="s">
        <v>415</v>
      </c>
      <c r="E41" s="2" t="s">
        <v>422</v>
      </c>
      <c r="G41" s="1" t="s">
        <v>1431</v>
      </c>
      <c r="I41" s="1" t="s">
        <v>417</v>
      </c>
      <c r="J41" s="1" t="s">
        <v>416</v>
      </c>
      <c r="K41" s="3" t="b">
        <v>1</v>
      </c>
      <c r="L41" s="1" t="s">
        <v>85</v>
      </c>
      <c r="M41" s="1" t="s">
        <v>415</v>
      </c>
      <c r="N41" s="2" t="s">
        <v>11</v>
      </c>
      <c r="O41" s="2" t="s">
        <v>86</v>
      </c>
      <c r="Q41" s="1" t="s">
        <v>418</v>
      </c>
      <c r="R41" s="2" t="s">
        <v>420</v>
      </c>
      <c r="S41" s="1" t="s">
        <v>89</v>
      </c>
      <c r="T41" s="4" t="str">
        <f>IMAGE("https://drive.google.com/uc?id=1IJVRtWx-6xfiYnJ_w0QKWG83u1bD5MJt")</f>
        <v/>
      </c>
      <c r="U41" s="1" t="s">
        <v>94</v>
      </c>
      <c r="V41" s="1" t="s">
        <v>419</v>
      </c>
      <c r="W41" s="3">
        <v>6.0</v>
      </c>
      <c r="X41" s="1" t="s">
        <v>91</v>
      </c>
      <c r="Y41" s="1" t="s">
        <v>421</v>
      </c>
      <c r="Z41" s="1" t="s">
        <v>10</v>
      </c>
      <c r="AA41" s="1" t="s">
        <v>423</v>
      </c>
    </row>
    <row r="42">
      <c r="A42" s="1" t="s">
        <v>424</v>
      </c>
      <c r="B42" s="1" t="s">
        <v>9</v>
      </c>
      <c r="C42" s="1" t="s">
        <v>425</v>
      </c>
      <c r="G42" s="1" t="s">
        <v>1439</v>
      </c>
      <c r="I42" s="1" t="s">
        <v>427</v>
      </c>
      <c r="J42" s="1" t="s">
        <v>426</v>
      </c>
      <c r="K42" s="3" t="b">
        <v>1</v>
      </c>
      <c r="L42" s="1" t="s">
        <v>85</v>
      </c>
      <c r="M42" s="1" t="s">
        <v>425</v>
      </c>
      <c r="N42" s="2" t="s">
        <v>11</v>
      </c>
      <c r="O42" s="2" t="s">
        <v>86</v>
      </c>
      <c r="Q42" s="1" t="s">
        <v>1460</v>
      </c>
      <c r="S42" s="1" t="s">
        <v>1421</v>
      </c>
      <c r="U42" s="1" t="s">
        <v>1457</v>
      </c>
      <c r="V42" s="1" t="s">
        <v>1461</v>
      </c>
      <c r="W42" s="3">
        <v>20.0</v>
      </c>
      <c r="X42" s="1" t="s">
        <v>1421</v>
      </c>
      <c r="Z42" s="1" t="s">
        <v>10</v>
      </c>
      <c r="AA42" s="1" t="s">
        <v>1462</v>
      </c>
    </row>
    <row r="43">
      <c r="A43" s="1" t="s">
        <v>428</v>
      </c>
      <c r="B43" s="1" t="s">
        <v>9</v>
      </c>
      <c r="C43" s="1" t="s">
        <v>429</v>
      </c>
      <c r="E43" s="2" t="s">
        <v>436</v>
      </c>
      <c r="G43" s="1" t="s">
        <v>1431</v>
      </c>
      <c r="I43" s="1" t="s">
        <v>431</v>
      </c>
      <c r="J43" s="1" t="s">
        <v>430</v>
      </c>
      <c r="K43" s="3" t="b">
        <v>1</v>
      </c>
      <c r="L43" s="1" t="s">
        <v>85</v>
      </c>
      <c r="M43" s="1" t="s">
        <v>429</v>
      </c>
      <c r="N43" s="2" t="s">
        <v>11</v>
      </c>
      <c r="O43" s="2" t="s">
        <v>86</v>
      </c>
      <c r="Q43" s="1" t="s">
        <v>432</v>
      </c>
      <c r="R43" s="2" t="s">
        <v>434</v>
      </c>
      <c r="S43" s="1" t="s">
        <v>89</v>
      </c>
      <c r="T43" s="4" t="str">
        <f>IMAGE("https://drive.google.com/uc?id=1Jycvva1aYHsnx_izGyT9dVMMByuNGXgL")</f>
        <v/>
      </c>
      <c r="U43" s="1" t="s">
        <v>94</v>
      </c>
      <c r="V43" s="1" t="s">
        <v>433</v>
      </c>
      <c r="W43" s="3">
        <v>10.0</v>
      </c>
      <c r="X43" s="1" t="s">
        <v>91</v>
      </c>
      <c r="Y43" s="1" t="s">
        <v>435</v>
      </c>
      <c r="Z43" s="1" t="s">
        <v>10</v>
      </c>
      <c r="AA43" s="1" t="s">
        <v>437</v>
      </c>
    </row>
    <row r="44">
      <c r="A44" s="1" t="s">
        <v>438</v>
      </c>
      <c r="B44" s="1" t="s">
        <v>9</v>
      </c>
      <c r="C44" s="1" t="s">
        <v>439</v>
      </c>
      <c r="E44" s="2" t="s">
        <v>446</v>
      </c>
      <c r="G44" s="1" t="s">
        <v>1431</v>
      </c>
      <c r="I44" s="1" t="s">
        <v>441</v>
      </c>
      <c r="J44" s="1" t="s">
        <v>440</v>
      </c>
      <c r="K44" s="3" t="b">
        <v>1</v>
      </c>
      <c r="L44" s="1" t="s">
        <v>85</v>
      </c>
      <c r="M44" s="1" t="s">
        <v>439</v>
      </c>
      <c r="N44" s="2" t="s">
        <v>11</v>
      </c>
      <c r="O44" s="2" t="s">
        <v>86</v>
      </c>
      <c r="Q44" s="1" t="s">
        <v>442</v>
      </c>
      <c r="R44" s="2" t="s">
        <v>444</v>
      </c>
      <c r="S44" s="1" t="s">
        <v>89</v>
      </c>
      <c r="T44" s="4" t="str">
        <f>IMAGE("https://drive.google.com/uc?id=1QiJEhOf9enIqkS_hTrwrHyYYb9pKjvMn")</f>
        <v/>
      </c>
      <c r="U44" s="1" t="s">
        <v>94</v>
      </c>
      <c r="V44" s="1" t="s">
        <v>443</v>
      </c>
      <c r="W44" s="3">
        <v>7.0</v>
      </c>
      <c r="X44" s="1" t="s">
        <v>91</v>
      </c>
      <c r="Y44" s="1" t="s">
        <v>445</v>
      </c>
      <c r="Z44" s="1" t="s">
        <v>10</v>
      </c>
      <c r="AA44" s="1" t="s">
        <v>447</v>
      </c>
    </row>
    <row r="45">
      <c r="A45" s="1" t="s">
        <v>448</v>
      </c>
      <c r="B45" s="1" t="s">
        <v>9</v>
      </c>
      <c r="C45" s="1" t="s">
        <v>449</v>
      </c>
      <c r="E45" s="2" t="s">
        <v>456</v>
      </c>
      <c r="G45" s="1" t="s">
        <v>1431</v>
      </c>
      <c r="I45" s="1" t="s">
        <v>451</v>
      </c>
      <c r="J45" s="1" t="s">
        <v>450</v>
      </c>
      <c r="K45" s="3" t="b">
        <v>1</v>
      </c>
      <c r="L45" s="1" t="s">
        <v>85</v>
      </c>
      <c r="M45" s="1" t="s">
        <v>449</v>
      </c>
      <c r="N45" s="2" t="s">
        <v>11</v>
      </c>
      <c r="O45" s="2" t="s">
        <v>86</v>
      </c>
      <c r="Q45" s="1" t="s">
        <v>452</v>
      </c>
      <c r="R45" s="2" t="s">
        <v>454</v>
      </c>
      <c r="S45" s="1" t="s">
        <v>89</v>
      </c>
      <c r="T45" s="4" t="str">
        <f>IMAGE("https://drive.google.com/uc?id=1mmVHL39nlC9hpSEr08S_Vbpkr72sZWk-")</f>
        <v/>
      </c>
      <c r="U45" s="1" t="s">
        <v>94</v>
      </c>
      <c r="V45" s="1" t="s">
        <v>453</v>
      </c>
      <c r="W45" s="3">
        <v>6.0</v>
      </c>
      <c r="X45" s="1" t="s">
        <v>91</v>
      </c>
      <c r="Y45" s="1" t="s">
        <v>455</v>
      </c>
      <c r="Z45" s="1" t="s">
        <v>10</v>
      </c>
      <c r="AA45" s="1" t="s">
        <v>457</v>
      </c>
    </row>
    <row r="46">
      <c r="A46" s="1" t="s">
        <v>458</v>
      </c>
      <c r="B46" s="1" t="s">
        <v>9</v>
      </c>
      <c r="C46" s="1" t="s">
        <v>459</v>
      </c>
      <c r="E46" s="2" t="s">
        <v>466</v>
      </c>
      <c r="G46" s="1" t="s">
        <v>1431</v>
      </c>
      <c r="I46" s="1" t="s">
        <v>461</v>
      </c>
      <c r="J46" s="1" t="s">
        <v>460</v>
      </c>
      <c r="K46" s="3" t="b">
        <v>1</v>
      </c>
      <c r="L46" s="1" t="s">
        <v>85</v>
      </c>
      <c r="M46" s="1" t="s">
        <v>459</v>
      </c>
      <c r="N46" s="2" t="s">
        <v>11</v>
      </c>
      <c r="O46" s="2" t="s">
        <v>86</v>
      </c>
      <c r="Q46" s="1" t="s">
        <v>462</v>
      </c>
      <c r="R46" s="2" t="s">
        <v>464</v>
      </c>
      <c r="S46" s="1" t="s">
        <v>89</v>
      </c>
      <c r="T46" s="4" t="str">
        <f>IMAGE("https://drive.google.com/uc?id=1KUyyOrkyt_0DzEbuAQkx0ClsO-dYSkT4")</f>
        <v/>
      </c>
      <c r="U46" s="1" t="s">
        <v>94</v>
      </c>
      <c r="V46" s="1" t="s">
        <v>463</v>
      </c>
      <c r="W46" s="3">
        <v>6.0</v>
      </c>
      <c r="X46" s="1" t="s">
        <v>91</v>
      </c>
      <c r="Y46" s="1" t="s">
        <v>465</v>
      </c>
      <c r="Z46" s="1" t="s">
        <v>10</v>
      </c>
      <c r="AA46" s="1" t="s">
        <v>467</v>
      </c>
    </row>
    <row r="47">
      <c r="A47" s="1" t="s">
        <v>468</v>
      </c>
      <c r="B47" s="1" t="s">
        <v>13</v>
      </c>
      <c r="C47" s="1" t="s">
        <v>469</v>
      </c>
      <c r="E47" s="2" t="s">
        <v>476</v>
      </c>
      <c r="G47" s="1" t="s">
        <v>1439</v>
      </c>
      <c r="I47" s="1" t="s">
        <v>471</v>
      </c>
      <c r="J47" s="1" t="s">
        <v>470</v>
      </c>
      <c r="K47" s="3" t="b">
        <v>1</v>
      </c>
      <c r="L47" s="1" t="s">
        <v>85</v>
      </c>
      <c r="M47" s="1" t="s">
        <v>469</v>
      </c>
      <c r="N47" s="2" t="s">
        <v>15</v>
      </c>
      <c r="O47" s="2" t="s">
        <v>86</v>
      </c>
      <c r="Q47" s="1" t="s">
        <v>472</v>
      </c>
      <c r="R47" s="2" t="s">
        <v>474</v>
      </c>
      <c r="S47" s="1" t="s">
        <v>89</v>
      </c>
      <c r="T47" s="4" t="str">
        <f>IMAGE("https://drive.google.com/uc?id=1XnT9V3Ckr05wgIYPv6ptQsA7GUJfzaXr")</f>
        <v/>
      </c>
      <c r="U47" s="1" t="s">
        <v>94</v>
      </c>
      <c r="V47" s="1" t="s">
        <v>473</v>
      </c>
      <c r="W47" s="3">
        <v>2.0</v>
      </c>
      <c r="X47" s="1" t="s">
        <v>91</v>
      </c>
      <c r="Y47" s="1" t="s">
        <v>475</v>
      </c>
      <c r="Z47" s="1" t="s">
        <v>477</v>
      </c>
      <c r="AA47" s="1" t="s">
        <v>478</v>
      </c>
    </row>
    <row r="48">
      <c r="A48" s="1" t="s">
        <v>479</v>
      </c>
      <c r="B48" s="1" t="s">
        <v>13</v>
      </c>
      <c r="C48" s="1" t="s">
        <v>480</v>
      </c>
      <c r="E48" s="2" t="s">
        <v>487</v>
      </c>
      <c r="G48" s="1" t="s">
        <v>1439</v>
      </c>
      <c r="I48" s="1" t="s">
        <v>482</v>
      </c>
      <c r="J48" s="1" t="s">
        <v>481</v>
      </c>
      <c r="K48" s="3" t="b">
        <v>1</v>
      </c>
      <c r="L48" s="1" t="s">
        <v>85</v>
      </c>
      <c r="M48" s="1" t="s">
        <v>480</v>
      </c>
      <c r="N48" s="2" t="s">
        <v>15</v>
      </c>
      <c r="O48" s="2" t="s">
        <v>86</v>
      </c>
      <c r="Q48" s="1" t="s">
        <v>483</v>
      </c>
      <c r="R48" s="2" t="s">
        <v>485</v>
      </c>
      <c r="S48" s="1" t="s">
        <v>89</v>
      </c>
      <c r="T48" s="4" t="str">
        <f>IMAGE("https://drive.google.com/uc?id=1pg4s8b1Qgq_oK_520V4m2XXJt3fz3Ixm")</f>
        <v/>
      </c>
      <c r="U48" s="1" t="s">
        <v>94</v>
      </c>
      <c r="V48" s="1" t="s">
        <v>484</v>
      </c>
      <c r="W48" s="3">
        <v>3.0</v>
      </c>
      <c r="X48" s="1" t="s">
        <v>91</v>
      </c>
      <c r="Y48" s="1" t="s">
        <v>486</v>
      </c>
      <c r="Z48" s="1" t="s">
        <v>477</v>
      </c>
      <c r="AA48" s="1" t="s">
        <v>488</v>
      </c>
    </row>
    <row r="49">
      <c r="A49" s="1" t="s">
        <v>489</v>
      </c>
      <c r="B49" s="1" t="s">
        <v>13</v>
      </c>
      <c r="C49" s="1" t="s">
        <v>490</v>
      </c>
      <c r="E49" s="2" t="s">
        <v>497</v>
      </c>
      <c r="G49" s="1" t="s">
        <v>1439</v>
      </c>
      <c r="I49" s="1" t="s">
        <v>492</v>
      </c>
      <c r="J49" s="1" t="s">
        <v>491</v>
      </c>
      <c r="K49" s="3" t="b">
        <v>1</v>
      </c>
      <c r="L49" s="1" t="s">
        <v>85</v>
      </c>
      <c r="M49" s="1" t="s">
        <v>490</v>
      </c>
      <c r="N49" s="2" t="s">
        <v>15</v>
      </c>
      <c r="O49" s="2" t="s">
        <v>86</v>
      </c>
      <c r="Q49" s="1" t="s">
        <v>493</v>
      </c>
      <c r="R49" s="2" t="s">
        <v>495</v>
      </c>
      <c r="S49" s="1" t="s">
        <v>89</v>
      </c>
      <c r="T49" s="4" t="str">
        <f>IMAGE("https://drive.google.com/uc?id=1i0la0A_AgrRQombGFJZlhoR_z28izZlW")</f>
        <v/>
      </c>
      <c r="U49" s="1" t="s">
        <v>94</v>
      </c>
      <c r="V49" s="1" t="s">
        <v>494</v>
      </c>
      <c r="W49" s="3">
        <v>2.0</v>
      </c>
      <c r="X49" s="1" t="s">
        <v>91</v>
      </c>
      <c r="Y49" s="1" t="s">
        <v>496</v>
      </c>
      <c r="Z49" s="1" t="s">
        <v>477</v>
      </c>
      <c r="AA49" s="1" t="s">
        <v>498</v>
      </c>
    </row>
    <row r="50">
      <c r="A50" s="1" t="s">
        <v>499</v>
      </c>
      <c r="B50" s="1" t="s">
        <v>13</v>
      </c>
      <c r="C50" s="1" t="s">
        <v>500</v>
      </c>
      <c r="E50" s="2" t="s">
        <v>507</v>
      </c>
      <c r="G50" s="1" t="s">
        <v>1439</v>
      </c>
      <c r="I50" s="1" t="s">
        <v>502</v>
      </c>
      <c r="J50" s="1" t="s">
        <v>501</v>
      </c>
      <c r="K50" s="3" t="b">
        <v>1</v>
      </c>
      <c r="L50" s="1" t="s">
        <v>85</v>
      </c>
      <c r="M50" s="1" t="s">
        <v>500</v>
      </c>
      <c r="N50" s="2" t="s">
        <v>15</v>
      </c>
      <c r="O50" s="2" t="s">
        <v>86</v>
      </c>
      <c r="Q50" s="1" t="s">
        <v>503</v>
      </c>
      <c r="R50" s="2" t="s">
        <v>505</v>
      </c>
      <c r="S50" s="1" t="s">
        <v>89</v>
      </c>
      <c r="T50" s="4" t="str">
        <f>IMAGE("https://drive.google.com/uc?id=1cWJQrNAXNs3gEp39Nx1A7WbHPiEeSXM_")</f>
        <v/>
      </c>
      <c r="U50" s="1" t="s">
        <v>94</v>
      </c>
      <c r="V50" s="1" t="s">
        <v>504</v>
      </c>
      <c r="W50" s="3">
        <v>2.0</v>
      </c>
      <c r="X50" s="1" t="s">
        <v>91</v>
      </c>
      <c r="Y50" s="1" t="s">
        <v>506</v>
      </c>
      <c r="Z50" s="1" t="s">
        <v>477</v>
      </c>
      <c r="AA50" s="1" t="s">
        <v>508</v>
      </c>
    </row>
    <row r="51">
      <c r="A51" s="1" t="s">
        <v>509</v>
      </c>
      <c r="B51" s="1" t="s">
        <v>13</v>
      </c>
      <c r="C51" s="1" t="s">
        <v>510</v>
      </c>
      <c r="G51" s="1" t="s">
        <v>1439</v>
      </c>
      <c r="I51" s="1" t="s">
        <v>512</v>
      </c>
      <c r="J51" s="1" t="s">
        <v>511</v>
      </c>
      <c r="K51" s="3" t="b">
        <v>1</v>
      </c>
      <c r="L51" s="1" t="s">
        <v>85</v>
      </c>
      <c r="M51" s="1" t="s">
        <v>510</v>
      </c>
      <c r="N51" s="2" t="s">
        <v>15</v>
      </c>
      <c r="O51" s="2" t="s">
        <v>86</v>
      </c>
      <c r="Q51" s="1" t="s">
        <v>1463</v>
      </c>
      <c r="S51" s="1" t="s">
        <v>1421</v>
      </c>
      <c r="U51" s="1" t="s">
        <v>1464</v>
      </c>
      <c r="V51" s="1" t="s">
        <v>1465</v>
      </c>
      <c r="W51" s="3">
        <v>20.0</v>
      </c>
      <c r="X51" s="1" t="s">
        <v>1466</v>
      </c>
      <c r="Z51" s="1" t="s">
        <v>477</v>
      </c>
      <c r="AA51" s="1" t="s">
        <v>1467</v>
      </c>
    </row>
    <row r="52">
      <c r="A52" s="1" t="s">
        <v>513</v>
      </c>
      <c r="B52" s="1" t="s">
        <v>13</v>
      </c>
      <c r="C52" s="1" t="s">
        <v>514</v>
      </c>
      <c r="E52" s="2" t="s">
        <v>521</v>
      </c>
      <c r="G52" s="1" t="s">
        <v>1439</v>
      </c>
      <c r="I52" s="1" t="s">
        <v>516</v>
      </c>
      <c r="J52" s="1" t="s">
        <v>515</v>
      </c>
      <c r="K52" s="3" t="b">
        <v>1</v>
      </c>
      <c r="L52" s="1" t="s">
        <v>85</v>
      </c>
      <c r="M52" s="1" t="s">
        <v>514</v>
      </c>
      <c r="N52" s="2" t="s">
        <v>15</v>
      </c>
      <c r="O52" s="2" t="s">
        <v>86</v>
      </c>
      <c r="Q52" s="1" t="s">
        <v>517</v>
      </c>
      <c r="R52" s="2" t="s">
        <v>519</v>
      </c>
      <c r="S52" s="1" t="s">
        <v>89</v>
      </c>
      <c r="T52" s="4" t="str">
        <f>IMAGE("https://drive.google.com/uc?id=1Qotyn8d_EPar_TJRa0EhoWYRdL47_Ask")</f>
        <v/>
      </c>
      <c r="U52" s="1" t="s">
        <v>94</v>
      </c>
      <c r="V52" s="1" t="s">
        <v>518</v>
      </c>
      <c r="W52" s="3">
        <v>2.0</v>
      </c>
      <c r="X52" s="1" t="s">
        <v>91</v>
      </c>
      <c r="Y52" s="1" t="s">
        <v>520</v>
      </c>
      <c r="Z52" s="1" t="s">
        <v>477</v>
      </c>
      <c r="AA52" s="1" t="s">
        <v>522</v>
      </c>
    </row>
    <row r="53">
      <c r="A53" s="1" t="s">
        <v>523</v>
      </c>
      <c r="B53" s="1" t="s">
        <v>13</v>
      </c>
      <c r="C53" s="1" t="s">
        <v>524</v>
      </c>
      <c r="E53" s="2" t="s">
        <v>531</v>
      </c>
      <c r="G53" s="1" t="s">
        <v>1439</v>
      </c>
      <c r="I53" s="1" t="s">
        <v>526</v>
      </c>
      <c r="J53" s="1" t="s">
        <v>525</v>
      </c>
      <c r="K53" s="3" t="b">
        <v>1</v>
      </c>
      <c r="L53" s="1" t="s">
        <v>85</v>
      </c>
      <c r="M53" s="1" t="s">
        <v>524</v>
      </c>
      <c r="N53" s="2" t="s">
        <v>15</v>
      </c>
      <c r="O53" s="2" t="s">
        <v>86</v>
      </c>
      <c r="Q53" s="1" t="s">
        <v>527</v>
      </c>
      <c r="R53" s="2" t="s">
        <v>529</v>
      </c>
      <c r="S53" s="1" t="s">
        <v>89</v>
      </c>
      <c r="T53" s="4" t="str">
        <f>IMAGE("https://drive.google.com/uc?id=1Vb2yIl3spdCq1qL98SwOpJS5qhR9CWZ-")</f>
        <v/>
      </c>
      <c r="U53" s="1" t="s">
        <v>94</v>
      </c>
      <c r="V53" s="1" t="s">
        <v>528</v>
      </c>
      <c r="W53" s="3">
        <v>2.0</v>
      </c>
      <c r="X53" s="1" t="s">
        <v>91</v>
      </c>
      <c r="Y53" s="1" t="s">
        <v>530</v>
      </c>
      <c r="Z53" s="1" t="s">
        <v>477</v>
      </c>
      <c r="AA53" s="1" t="s">
        <v>532</v>
      </c>
    </row>
    <row r="54">
      <c r="A54" s="1" t="s">
        <v>533</v>
      </c>
      <c r="B54" s="1" t="s">
        <v>13</v>
      </c>
      <c r="C54" s="1" t="s">
        <v>534</v>
      </c>
      <c r="E54" s="2" t="s">
        <v>541</v>
      </c>
      <c r="G54" s="1" t="s">
        <v>1439</v>
      </c>
      <c r="I54" s="1" t="s">
        <v>536</v>
      </c>
      <c r="J54" s="1" t="s">
        <v>535</v>
      </c>
      <c r="K54" s="3" t="b">
        <v>1</v>
      </c>
      <c r="L54" s="1" t="s">
        <v>85</v>
      </c>
      <c r="M54" s="1" t="s">
        <v>534</v>
      </c>
      <c r="N54" s="2" t="s">
        <v>15</v>
      </c>
      <c r="O54" s="2" t="s">
        <v>86</v>
      </c>
      <c r="Q54" s="1" t="s">
        <v>537</v>
      </c>
      <c r="R54" s="2" t="s">
        <v>539</v>
      </c>
      <c r="S54" s="1" t="s">
        <v>89</v>
      </c>
      <c r="T54" s="4" t="str">
        <f>IMAGE("https://drive.google.com/uc?id=1BaSxbHxUKLOv2pBur_yGyIf14__z_PsT")</f>
        <v/>
      </c>
      <c r="U54" s="1" t="s">
        <v>94</v>
      </c>
      <c r="V54" s="1" t="s">
        <v>538</v>
      </c>
      <c r="W54" s="3">
        <v>2.0</v>
      </c>
      <c r="X54" s="1" t="s">
        <v>91</v>
      </c>
      <c r="Y54" s="1" t="s">
        <v>540</v>
      </c>
      <c r="Z54" s="1" t="s">
        <v>477</v>
      </c>
      <c r="AA54" s="1" t="s">
        <v>542</v>
      </c>
    </row>
    <row r="55">
      <c r="A55" s="1" t="s">
        <v>543</v>
      </c>
      <c r="B55" s="1" t="s">
        <v>13</v>
      </c>
      <c r="C55" s="1" t="s">
        <v>544</v>
      </c>
      <c r="E55" s="2" t="s">
        <v>551</v>
      </c>
      <c r="G55" s="1" t="s">
        <v>1439</v>
      </c>
      <c r="I55" s="1" t="s">
        <v>546</v>
      </c>
      <c r="J55" s="1" t="s">
        <v>545</v>
      </c>
      <c r="K55" s="3" t="b">
        <v>1</v>
      </c>
      <c r="L55" s="1" t="s">
        <v>85</v>
      </c>
      <c r="M55" s="1" t="s">
        <v>544</v>
      </c>
      <c r="N55" s="2" t="s">
        <v>15</v>
      </c>
      <c r="O55" s="2" t="s">
        <v>86</v>
      </c>
      <c r="Q55" s="1" t="s">
        <v>547</v>
      </c>
      <c r="R55" s="2" t="s">
        <v>549</v>
      </c>
      <c r="S55" s="1" t="s">
        <v>89</v>
      </c>
      <c r="T55" s="4" t="str">
        <f>IMAGE("https://drive.google.com/uc?id=1ja_8e3BZxKBD7sPb60KdqBUfC1V1auHr")</f>
        <v/>
      </c>
      <c r="U55" s="1" t="s">
        <v>94</v>
      </c>
      <c r="V55" s="1" t="s">
        <v>548</v>
      </c>
      <c r="W55" s="3">
        <v>2.0</v>
      </c>
      <c r="X55" s="1" t="s">
        <v>91</v>
      </c>
      <c r="Y55" s="1" t="s">
        <v>550</v>
      </c>
      <c r="Z55" s="1" t="s">
        <v>477</v>
      </c>
      <c r="AA55" s="1" t="s">
        <v>552</v>
      </c>
    </row>
    <row r="56">
      <c r="A56" s="1" t="s">
        <v>553</v>
      </c>
      <c r="B56" s="1" t="s">
        <v>13</v>
      </c>
      <c r="C56" s="1" t="s">
        <v>554</v>
      </c>
      <c r="E56" s="2" t="s">
        <v>561</v>
      </c>
      <c r="G56" s="1" t="s">
        <v>1439</v>
      </c>
      <c r="I56" s="1" t="s">
        <v>556</v>
      </c>
      <c r="J56" s="1" t="s">
        <v>555</v>
      </c>
      <c r="K56" s="3" t="b">
        <v>1</v>
      </c>
      <c r="L56" s="1" t="s">
        <v>85</v>
      </c>
      <c r="M56" s="1" t="s">
        <v>554</v>
      </c>
      <c r="N56" s="2" t="s">
        <v>15</v>
      </c>
      <c r="O56" s="2" t="s">
        <v>86</v>
      </c>
      <c r="Q56" s="1" t="s">
        <v>557</v>
      </c>
      <c r="R56" s="2" t="s">
        <v>559</v>
      </c>
      <c r="S56" s="1" t="s">
        <v>89</v>
      </c>
      <c r="T56" s="4" t="str">
        <f>IMAGE("https://drive.google.com/uc?id=1W9ePHiLYX6CpUUHiMVbwA2z70R2_ajrb")</f>
        <v/>
      </c>
      <c r="U56" s="1" t="s">
        <v>94</v>
      </c>
      <c r="V56" s="1" t="s">
        <v>558</v>
      </c>
      <c r="W56" s="3">
        <v>2.0</v>
      </c>
      <c r="X56" s="1" t="s">
        <v>91</v>
      </c>
      <c r="Y56" s="1" t="s">
        <v>560</v>
      </c>
      <c r="Z56" s="1" t="s">
        <v>477</v>
      </c>
      <c r="AA56" s="1" t="s">
        <v>562</v>
      </c>
    </row>
    <row r="57">
      <c r="A57" s="1" t="s">
        <v>563</v>
      </c>
      <c r="B57" s="1" t="s">
        <v>9</v>
      </c>
      <c r="C57" s="1" t="s">
        <v>564</v>
      </c>
      <c r="E57" s="2" t="s">
        <v>571</v>
      </c>
      <c r="G57" s="1" t="s">
        <v>1431</v>
      </c>
      <c r="I57" s="1" t="s">
        <v>566</v>
      </c>
      <c r="J57" s="1" t="s">
        <v>565</v>
      </c>
      <c r="K57" s="3" t="b">
        <v>1</v>
      </c>
      <c r="L57" s="1" t="s">
        <v>85</v>
      </c>
      <c r="M57" s="1" t="s">
        <v>564</v>
      </c>
      <c r="N57" s="2" t="s">
        <v>11</v>
      </c>
      <c r="O57" s="2" t="s">
        <v>86</v>
      </c>
      <c r="Q57" s="1" t="s">
        <v>567</v>
      </c>
      <c r="R57" s="2" t="s">
        <v>569</v>
      </c>
      <c r="S57" s="1" t="s">
        <v>89</v>
      </c>
      <c r="T57" s="4" t="str">
        <f>IMAGE("https://drive.google.com/uc?id=1p4f93Rnw1CGlEAJ_LeSanR6v7ncEhEL5")</f>
        <v/>
      </c>
      <c r="U57" s="1" t="s">
        <v>94</v>
      </c>
      <c r="V57" s="1" t="s">
        <v>568</v>
      </c>
      <c r="W57" s="3">
        <v>9.0</v>
      </c>
      <c r="X57" s="1" t="s">
        <v>91</v>
      </c>
      <c r="Y57" s="1" t="s">
        <v>570</v>
      </c>
      <c r="Z57" s="1" t="s">
        <v>10</v>
      </c>
      <c r="AA57" s="1" t="s">
        <v>572</v>
      </c>
    </row>
    <row r="58">
      <c r="A58" s="1" t="s">
        <v>573</v>
      </c>
      <c r="B58" s="1" t="s">
        <v>9</v>
      </c>
      <c r="C58" s="1" t="s">
        <v>574</v>
      </c>
      <c r="E58" s="2" t="s">
        <v>581</v>
      </c>
      <c r="G58" s="1" t="s">
        <v>1431</v>
      </c>
      <c r="I58" s="1" t="s">
        <v>576</v>
      </c>
      <c r="J58" s="1" t="s">
        <v>575</v>
      </c>
      <c r="K58" s="3" t="b">
        <v>1</v>
      </c>
      <c r="L58" s="1" t="s">
        <v>85</v>
      </c>
      <c r="M58" s="1" t="s">
        <v>574</v>
      </c>
      <c r="N58" s="2" t="s">
        <v>11</v>
      </c>
      <c r="O58" s="2" t="s">
        <v>86</v>
      </c>
      <c r="Q58" s="1" t="s">
        <v>577</v>
      </c>
      <c r="R58" s="2" t="s">
        <v>579</v>
      </c>
      <c r="S58" s="1" t="s">
        <v>89</v>
      </c>
      <c r="T58" s="4" t="str">
        <f>IMAGE("https://drive.google.com/uc?id=1ofXwCYyxnFw0LSlp9-qN-rYBKPxGIU5W")</f>
        <v/>
      </c>
      <c r="U58" s="1" t="s">
        <v>94</v>
      </c>
      <c r="V58" s="1" t="s">
        <v>578</v>
      </c>
      <c r="W58" s="3">
        <v>3.0</v>
      </c>
      <c r="X58" s="1" t="s">
        <v>91</v>
      </c>
      <c r="Y58" s="1" t="s">
        <v>580</v>
      </c>
      <c r="Z58" s="1" t="s">
        <v>10</v>
      </c>
      <c r="AA58" s="1" t="s">
        <v>582</v>
      </c>
    </row>
    <row r="59">
      <c r="A59" s="1" t="s">
        <v>583</v>
      </c>
      <c r="B59" s="1" t="s">
        <v>9</v>
      </c>
      <c r="C59" s="1" t="s">
        <v>584</v>
      </c>
      <c r="E59" s="2" t="s">
        <v>591</v>
      </c>
      <c r="G59" s="1" t="s">
        <v>1431</v>
      </c>
      <c r="I59" s="1" t="s">
        <v>586</v>
      </c>
      <c r="J59" s="1" t="s">
        <v>585</v>
      </c>
      <c r="K59" s="3" t="b">
        <v>1</v>
      </c>
      <c r="L59" s="1" t="s">
        <v>85</v>
      </c>
      <c r="M59" s="1" t="s">
        <v>584</v>
      </c>
      <c r="N59" s="2" t="s">
        <v>11</v>
      </c>
      <c r="O59" s="2" t="s">
        <v>86</v>
      </c>
      <c r="Q59" s="1" t="s">
        <v>587</v>
      </c>
      <c r="R59" s="2" t="s">
        <v>589</v>
      </c>
      <c r="S59" s="1" t="s">
        <v>89</v>
      </c>
      <c r="T59" s="4" t="str">
        <f>IMAGE("https://drive.google.com/uc?id=1twuX3OVwKgYy-Rqz4Cf8foLztdppGbJW")</f>
        <v/>
      </c>
      <c r="U59" s="1" t="s">
        <v>94</v>
      </c>
      <c r="V59" s="1" t="s">
        <v>588</v>
      </c>
      <c r="W59" s="3">
        <v>5.0</v>
      </c>
      <c r="X59" s="1" t="s">
        <v>91</v>
      </c>
      <c r="Y59" s="1" t="s">
        <v>590</v>
      </c>
      <c r="Z59" s="1" t="s">
        <v>10</v>
      </c>
      <c r="AA59" s="1" t="s">
        <v>592</v>
      </c>
    </row>
    <row r="60">
      <c r="A60" s="1" t="s">
        <v>593</v>
      </c>
      <c r="B60" s="1" t="s">
        <v>9</v>
      </c>
      <c r="C60" s="1" t="s">
        <v>594</v>
      </c>
      <c r="E60" s="2" t="s">
        <v>601</v>
      </c>
      <c r="G60" s="1" t="s">
        <v>1431</v>
      </c>
      <c r="I60" s="1" t="s">
        <v>596</v>
      </c>
      <c r="J60" s="1" t="s">
        <v>595</v>
      </c>
      <c r="K60" s="3" t="b">
        <v>1</v>
      </c>
      <c r="L60" s="1" t="s">
        <v>85</v>
      </c>
      <c r="M60" s="1" t="s">
        <v>594</v>
      </c>
      <c r="N60" s="2" t="s">
        <v>11</v>
      </c>
      <c r="O60" s="2" t="s">
        <v>86</v>
      </c>
      <c r="Q60" s="1" t="s">
        <v>597</v>
      </c>
      <c r="R60" s="2" t="s">
        <v>599</v>
      </c>
      <c r="S60" s="1" t="s">
        <v>89</v>
      </c>
      <c r="T60" s="4" t="str">
        <f>IMAGE("https://drive.google.com/uc?id=1c0C21Vmfq_6CNzqziPBtPQNDWrYqOMR6")</f>
        <v/>
      </c>
      <c r="U60" s="1" t="s">
        <v>94</v>
      </c>
      <c r="V60" s="1" t="s">
        <v>598</v>
      </c>
      <c r="W60" s="3">
        <v>3.0</v>
      </c>
      <c r="X60" s="1" t="s">
        <v>91</v>
      </c>
      <c r="Y60" s="1" t="s">
        <v>600</v>
      </c>
      <c r="Z60" s="1" t="s">
        <v>10</v>
      </c>
      <c r="AA60" s="1" t="s">
        <v>602</v>
      </c>
    </row>
    <row r="61">
      <c r="A61" s="1" t="s">
        <v>603</v>
      </c>
      <c r="B61" s="1" t="s">
        <v>9</v>
      </c>
      <c r="C61" s="1" t="s">
        <v>604</v>
      </c>
      <c r="E61" s="2" t="s">
        <v>611</v>
      </c>
      <c r="G61" s="1" t="s">
        <v>1431</v>
      </c>
      <c r="I61" s="1" t="s">
        <v>606</v>
      </c>
      <c r="J61" s="1" t="s">
        <v>605</v>
      </c>
      <c r="K61" s="3" t="b">
        <v>1</v>
      </c>
      <c r="L61" s="1" t="s">
        <v>85</v>
      </c>
      <c r="M61" s="1" t="s">
        <v>604</v>
      </c>
      <c r="N61" s="2" t="s">
        <v>11</v>
      </c>
      <c r="O61" s="2" t="s">
        <v>86</v>
      </c>
      <c r="Q61" s="1" t="s">
        <v>607</v>
      </c>
      <c r="R61" s="2" t="s">
        <v>609</v>
      </c>
      <c r="S61" s="1" t="s">
        <v>89</v>
      </c>
      <c r="T61" s="4" t="str">
        <f>IMAGE("https://drive.google.com/uc?id=1E7s71Q_-HEV5g86nzycqXBUZeJ-unEln")</f>
        <v/>
      </c>
      <c r="U61" s="1" t="s">
        <v>94</v>
      </c>
      <c r="V61" s="1" t="s">
        <v>608</v>
      </c>
      <c r="W61" s="3">
        <v>6.0</v>
      </c>
      <c r="X61" s="1" t="s">
        <v>91</v>
      </c>
      <c r="Y61" s="1" t="s">
        <v>610</v>
      </c>
      <c r="Z61" s="1" t="s">
        <v>10</v>
      </c>
      <c r="AA61" s="1" t="s">
        <v>612</v>
      </c>
    </row>
    <row r="62">
      <c r="A62" s="1" t="s">
        <v>613</v>
      </c>
      <c r="B62" s="1" t="s">
        <v>9</v>
      </c>
      <c r="C62" s="1" t="s">
        <v>614</v>
      </c>
      <c r="E62" s="2" t="s">
        <v>621</v>
      </c>
      <c r="G62" s="1" t="s">
        <v>1431</v>
      </c>
      <c r="I62" s="1" t="s">
        <v>616</v>
      </c>
      <c r="J62" s="1" t="s">
        <v>615</v>
      </c>
      <c r="K62" s="3" t="b">
        <v>1</v>
      </c>
      <c r="L62" s="1" t="s">
        <v>85</v>
      </c>
      <c r="M62" s="1" t="s">
        <v>614</v>
      </c>
      <c r="N62" s="2" t="s">
        <v>11</v>
      </c>
      <c r="O62" s="2" t="s">
        <v>86</v>
      </c>
      <c r="Q62" s="1" t="s">
        <v>617</v>
      </c>
      <c r="R62" s="2" t="s">
        <v>619</v>
      </c>
      <c r="S62" s="1" t="s">
        <v>89</v>
      </c>
      <c r="T62" s="4" t="str">
        <f>IMAGE("https://drive.google.com/uc?id=1AbVaR6fq5L_CV5FG1XP8qmRX5shglTBR")</f>
        <v/>
      </c>
      <c r="U62" s="1" t="s">
        <v>94</v>
      </c>
      <c r="V62" s="1" t="s">
        <v>618</v>
      </c>
      <c r="W62" s="3">
        <v>6.0</v>
      </c>
      <c r="X62" s="1" t="s">
        <v>91</v>
      </c>
      <c r="Y62" s="1" t="s">
        <v>620</v>
      </c>
      <c r="Z62" s="1" t="s">
        <v>10</v>
      </c>
      <c r="AA62" s="1" t="s">
        <v>622</v>
      </c>
    </row>
    <row r="63">
      <c r="A63" s="1" t="s">
        <v>623</v>
      </c>
      <c r="B63" s="1" t="s">
        <v>9</v>
      </c>
      <c r="C63" s="1" t="s">
        <v>624</v>
      </c>
      <c r="E63" s="2" t="s">
        <v>631</v>
      </c>
      <c r="G63" s="1" t="s">
        <v>1431</v>
      </c>
      <c r="I63" s="1" t="s">
        <v>626</v>
      </c>
      <c r="J63" s="1" t="s">
        <v>625</v>
      </c>
      <c r="K63" s="3" t="b">
        <v>1</v>
      </c>
      <c r="L63" s="1" t="s">
        <v>85</v>
      </c>
      <c r="M63" s="1" t="s">
        <v>624</v>
      </c>
      <c r="N63" s="2" t="s">
        <v>11</v>
      </c>
      <c r="O63" s="2" t="s">
        <v>86</v>
      </c>
      <c r="Q63" s="1" t="s">
        <v>627</v>
      </c>
      <c r="R63" s="2" t="s">
        <v>629</v>
      </c>
      <c r="S63" s="1" t="s">
        <v>89</v>
      </c>
      <c r="T63" s="4" t="str">
        <f>IMAGE("https://drive.google.com/uc?id=1xqUduS_awunc7GddEZLuc2bRW_1oXbGh")</f>
        <v/>
      </c>
      <c r="U63" s="1" t="s">
        <v>94</v>
      </c>
      <c r="V63" s="1" t="s">
        <v>628</v>
      </c>
      <c r="W63" s="3">
        <v>6.0</v>
      </c>
      <c r="X63" s="1" t="s">
        <v>91</v>
      </c>
      <c r="Y63" s="1" t="s">
        <v>630</v>
      </c>
      <c r="Z63" s="1" t="s">
        <v>10</v>
      </c>
      <c r="AA63" s="1" t="s">
        <v>632</v>
      </c>
    </row>
    <row r="64">
      <c r="A64" s="1" t="s">
        <v>633</v>
      </c>
      <c r="B64" s="1" t="s">
        <v>9</v>
      </c>
      <c r="C64" s="1" t="s">
        <v>634</v>
      </c>
      <c r="E64" s="2" t="s">
        <v>641</v>
      </c>
      <c r="G64" s="1" t="s">
        <v>1431</v>
      </c>
      <c r="I64" s="1" t="s">
        <v>636</v>
      </c>
      <c r="J64" s="1" t="s">
        <v>635</v>
      </c>
      <c r="K64" s="3" t="b">
        <v>1</v>
      </c>
      <c r="L64" s="1" t="s">
        <v>85</v>
      </c>
      <c r="M64" s="1" t="s">
        <v>634</v>
      </c>
      <c r="N64" s="2" t="s">
        <v>11</v>
      </c>
      <c r="O64" s="2" t="s">
        <v>86</v>
      </c>
      <c r="Q64" s="1" t="s">
        <v>637</v>
      </c>
      <c r="R64" s="2" t="s">
        <v>639</v>
      </c>
      <c r="S64" s="1" t="s">
        <v>89</v>
      </c>
      <c r="T64" s="4" t="str">
        <f>IMAGE("https://drive.google.com/uc?id=1DlQa4LcFBfNAQUjQb0DHqfYbyStlLgLc")</f>
        <v/>
      </c>
      <c r="U64" s="1" t="s">
        <v>94</v>
      </c>
      <c r="V64" s="1" t="s">
        <v>638</v>
      </c>
      <c r="W64" s="3">
        <v>6.0</v>
      </c>
      <c r="X64" s="1" t="s">
        <v>91</v>
      </c>
      <c r="Y64" s="1" t="s">
        <v>640</v>
      </c>
      <c r="Z64" s="1" t="s">
        <v>10</v>
      </c>
      <c r="AA64" s="1" t="s">
        <v>642</v>
      </c>
    </row>
    <row r="65">
      <c r="A65" s="1" t="s">
        <v>643</v>
      </c>
      <c r="B65" s="1" t="s">
        <v>9</v>
      </c>
      <c r="C65" s="1" t="s">
        <v>644</v>
      </c>
      <c r="E65" s="2" t="s">
        <v>651</v>
      </c>
      <c r="G65" s="1" t="s">
        <v>1431</v>
      </c>
      <c r="I65" s="1" t="s">
        <v>646</v>
      </c>
      <c r="J65" s="1" t="s">
        <v>645</v>
      </c>
      <c r="K65" s="3" t="b">
        <v>1</v>
      </c>
      <c r="L65" s="1" t="s">
        <v>85</v>
      </c>
      <c r="M65" s="1" t="s">
        <v>644</v>
      </c>
      <c r="N65" s="2" t="s">
        <v>11</v>
      </c>
      <c r="O65" s="2" t="s">
        <v>86</v>
      </c>
      <c r="Q65" s="1" t="s">
        <v>647</v>
      </c>
      <c r="R65" s="2" t="s">
        <v>649</v>
      </c>
      <c r="S65" s="1" t="s">
        <v>89</v>
      </c>
      <c r="T65" s="4" t="str">
        <f>IMAGE("https://drive.google.com/uc?id=1vn_i7DYUWLlJC0xtuZgv7xPgc2Eq5K--")</f>
        <v/>
      </c>
      <c r="U65" s="1" t="s">
        <v>94</v>
      </c>
      <c r="V65" s="1" t="s">
        <v>648</v>
      </c>
      <c r="W65" s="3">
        <v>3.0</v>
      </c>
      <c r="X65" s="1" t="s">
        <v>91</v>
      </c>
      <c r="Y65" s="1" t="s">
        <v>650</v>
      </c>
      <c r="Z65" s="1" t="s">
        <v>10</v>
      </c>
      <c r="AA65" s="1" t="s">
        <v>652</v>
      </c>
    </row>
    <row r="66">
      <c r="A66" s="1" t="s">
        <v>653</v>
      </c>
      <c r="B66" s="1" t="s">
        <v>21</v>
      </c>
      <c r="C66" s="1" t="s">
        <v>654</v>
      </c>
      <c r="E66" s="2" t="s">
        <v>661</v>
      </c>
      <c r="G66" s="1" t="s">
        <v>1431</v>
      </c>
      <c r="I66" s="1" t="s">
        <v>656</v>
      </c>
      <c r="J66" s="1" t="s">
        <v>655</v>
      </c>
      <c r="K66" s="3" t="b">
        <v>1</v>
      </c>
      <c r="L66" s="1" t="s">
        <v>85</v>
      </c>
      <c r="M66" s="1" t="s">
        <v>654</v>
      </c>
      <c r="N66" s="2" t="s">
        <v>23</v>
      </c>
      <c r="O66" s="2" t="s">
        <v>86</v>
      </c>
      <c r="Q66" s="1" t="s">
        <v>657</v>
      </c>
      <c r="R66" s="2" t="s">
        <v>659</v>
      </c>
      <c r="S66" s="1" t="s">
        <v>89</v>
      </c>
      <c r="T66" s="4" t="str">
        <f>IMAGE("https://drive.google.com/uc?id=1T72vne-xBZEbnSSkyTor_PAhOiOtJyNp")</f>
        <v/>
      </c>
      <c r="U66" s="1" t="s">
        <v>94</v>
      </c>
      <c r="V66" s="1" t="s">
        <v>658</v>
      </c>
      <c r="W66" s="3">
        <v>3.0</v>
      </c>
      <c r="X66" s="1" t="s">
        <v>91</v>
      </c>
      <c r="Y66" s="1" t="s">
        <v>660</v>
      </c>
      <c r="Z66" s="1" t="s">
        <v>22</v>
      </c>
      <c r="AA66" s="1" t="s">
        <v>662</v>
      </c>
    </row>
    <row r="67">
      <c r="A67" s="1" t="s">
        <v>663</v>
      </c>
      <c r="B67" s="1" t="s">
        <v>21</v>
      </c>
      <c r="C67" s="1" t="s">
        <v>664</v>
      </c>
      <c r="E67" s="2" t="s">
        <v>671</v>
      </c>
      <c r="G67" s="1" t="s">
        <v>1431</v>
      </c>
      <c r="I67" s="1" t="s">
        <v>666</v>
      </c>
      <c r="J67" s="1" t="s">
        <v>665</v>
      </c>
      <c r="K67" s="3" t="b">
        <v>1</v>
      </c>
      <c r="L67" s="1" t="s">
        <v>85</v>
      </c>
      <c r="M67" s="1" t="s">
        <v>664</v>
      </c>
      <c r="N67" s="2" t="s">
        <v>23</v>
      </c>
      <c r="O67" s="2" t="s">
        <v>86</v>
      </c>
      <c r="Q67" s="1" t="s">
        <v>667</v>
      </c>
      <c r="R67" s="2" t="s">
        <v>669</v>
      </c>
      <c r="S67" s="1" t="s">
        <v>89</v>
      </c>
      <c r="T67" s="4" t="str">
        <f>IMAGE("https://drive.google.com/uc?id=1bf_t3vogWRHTabX4kt6HS1jT8zkzvbJF")</f>
        <v/>
      </c>
      <c r="U67" s="1" t="s">
        <v>94</v>
      </c>
      <c r="V67" s="1" t="s">
        <v>668</v>
      </c>
      <c r="W67" s="3">
        <v>6.0</v>
      </c>
      <c r="X67" s="1" t="s">
        <v>91</v>
      </c>
      <c r="Y67" s="1" t="s">
        <v>670</v>
      </c>
      <c r="Z67" s="1" t="s">
        <v>22</v>
      </c>
      <c r="AA67" s="1" t="s">
        <v>672</v>
      </c>
    </row>
    <row r="68">
      <c r="A68" s="1" t="s">
        <v>673</v>
      </c>
      <c r="B68" s="1" t="s">
        <v>21</v>
      </c>
      <c r="C68" s="1" t="s">
        <v>674</v>
      </c>
      <c r="E68" s="2" t="s">
        <v>681</v>
      </c>
      <c r="G68" s="1" t="s">
        <v>1431</v>
      </c>
      <c r="I68" s="1" t="s">
        <v>676</v>
      </c>
      <c r="J68" s="1" t="s">
        <v>675</v>
      </c>
      <c r="K68" s="3" t="b">
        <v>1</v>
      </c>
      <c r="L68" s="1" t="s">
        <v>85</v>
      </c>
      <c r="M68" s="1" t="s">
        <v>674</v>
      </c>
      <c r="N68" s="2" t="s">
        <v>23</v>
      </c>
      <c r="O68" s="2" t="s">
        <v>86</v>
      </c>
      <c r="Q68" s="1" t="s">
        <v>677</v>
      </c>
      <c r="R68" s="2" t="s">
        <v>679</v>
      </c>
      <c r="S68" s="1" t="s">
        <v>89</v>
      </c>
      <c r="T68" s="4" t="str">
        <f>IMAGE("https://drive.google.com/uc?id=1dAqnbNtJizvfaX-ZF81EJByXF9qwy46B")</f>
        <v/>
      </c>
      <c r="U68" s="1" t="s">
        <v>94</v>
      </c>
      <c r="V68" s="1" t="s">
        <v>678</v>
      </c>
      <c r="W68" s="3">
        <v>3.0</v>
      </c>
      <c r="X68" s="1" t="s">
        <v>91</v>
      </c>
      <c r="Y68" s="1" t="s">
        <v>680</v>
      </c>
      <c r="Z68" s="1" t="s">
        <v>22</v>
      </c>
      <c r="AA68" s="1" t="s">
        <v>682</v>
      </c>
    </row>
    <row r="69">
      <c r="A69" s="1" t="s">
        <v>683</v>
      </c>
      <c r="B69" s="1" t="s">
        <v>21</v>
      </c>
      <c r="C69" s="1" t="s">
        <v>684</v>
      </c>
      <c r="E69" s="2" t="s">
        <v>691</v>
      </c>
      <c r="G69" s="1" t="s">
        <v>1431</v>
      </c>
      <c r="I69" s="1" t="s">
        <v>686</v>
      </c>
      <c r="J69" s="1" t="s">
        <v>685</v>
      </c>
      <c r="K69" s="3" t="b">
        <v>1</v>
      </c>
      <c r="L69" s="1" t="s">
        <v>85</v>
      </c>
      <c r="M69" s="1" t="s">
        <v>684</v>
      </c>
      <c r="N69" s="2" t="s">
        <v>23</v>
      </c>
      <c r="O69" s="2" t="s">
        <v>86</v>
      </c>
      <c r="Q69" s="1" t="s">
        <v>687</v>
      </c>
      <c r="R69" s="2" t="s">
        <v>689</v>
      </c>
      <c r="S69" s="1" t="s">
        <v>89</v>
      </c>
      <c r="T69" s="4" t="str">
        <f>IMAGE("https://drive.google.com/uc?id=1uTNI-SaEo2O09atFag2_CPY5nwcI-r1z")</f>
        <v/>
      </c>
      <c r="U69" s="1" t="s">
        <v>94</v>
      </c>
      <c r="V69" s="1" t="s">
        <v>688</v>
      </c>
      <c r="W69" s="3">
        <v>3.0</v>
      </c>
      <c r="X69" s="1" t="s">
        <v>91</v>
      </c>
      <c r="Y69" s="1" t="s">
        <v>690</v>
      </c>
      <c r="Z69" s="1" t="s">
        <v>22</v>
      </c>
      <c r="AA69" s="1" t="s">
        <v>692</v>
      </c>
    </row>
    <row r="70">
      <c r="A70" s="1" t="s">
        <v>693</v>
      </c>
      <c r="B70" s="1" t="s">
        <v>21</v>
      </c>
      <c r="C70" s="1" t="s">
        <v>694</v>
      </c>
      <c r="E70" s="2" t="s">
        <v>701</v>
      </c>
      <c r="G70" s="1" t="s">
        <v>1431</v>
      </c>
      <c r="I70" s="1" t="s">
        <v>1468</v>
      </c>
      <c r="J70" s="1" t="s">
        <v>695</v>
      </c>
      <c r="K70" s="3" t="b">
        <v>1</v>
      </c>
      <c r="L70" s="1" t="s">
        <v>85</v>
      </c>
      <c r="M70" s="1" t="s">
        <v>694</v>
      </c>
      <c r="N70" s="2" t="s">
        <v>23</v>
      </c>
      <c r="O70" s="2" t="s">
        <v>86</v>
      </c>
      <c r="Q70" s="1" t="s">
        <v>697</v>
      </c>
      <c r="R70" s="2" t="s">
        <v>699</v>
      </c>
      <c r="S70" s="1" t="s">
        <v>89</v>
      </c>
      <c r="T70" s="4" t="str">
        <f>IMAGE("https://drive.google.com/uc?id=1qdI8g_QVVIyiFQi4XmTENBsm-_pbo2cJ")</f>
        <v/>
      </c>
      <c r="U70" s="1" t="s">
        <v>94</v>
      </c>
      <c r="V70" s="1" t="s">
        <v>698</v>
      </c>
      <c r="W70" s="3">
        <v>6.0</v>
      </c>
      <c r="X70" s="1" t="s">
        <v>91</v>
      </c>
      <c r="Y70" s="1" t="s">
        <v>700</v>
      </c>
      <c r="Z70" s="1" t="s">
        <v>22</v>
      </c>
      <c r="AA70" s="1" t="s">
        <v>702</v>
      </c>
    </row>
    <row r="71">
      <c r="A71" s="1" t="s">
        <v>703</v>
      </c>
      <c r="B71" s="1" t="s">
        <v>21</v>
      </c>
      <c r="C71" s="1" t="s">
        <v>704</v>
      </c>
      <c r="G71" s="1" t="s">
        <v>54</v>
      </c>
      <c r="I71" s="1" t="s">
        <v>706</v>
      </c>
      <c r="J71" s="1" t="s">
        <v>705</v>
      </c>
      <c r="K71" s="3" t="b">
        <v>1</v>
      </c>
      <c r="L71" s="1" t="s">
        <v>85</v>
      </c>
      <c r="M71" s="1" t="s">
        <v>704</v>
      </c>
      <c r="N71" s="2" t="s">
        <v>23</v>
      </c>
      <c r="O71" s="2" t="s">
        <v>86</v>
      </c>
      <c r="Q71" s="1" t="s">
        <v>1469</v>
      </c>
      <c r="S71" s="1" t="s">
        <v>1421</v>
      </c>
      <c r="U71" s="1" t="s">
        <v>1457</v>
      </c>
      <c r="V71" s="1" t="s">
        <v>1470</v>
      </c>
      <c r="W71" s="3">
        <v>20.0</v>
      </c>
      <c r="X71" s="1" t="s">
        <v>1421</v>
      </c>
      <c r="Z71" s="1" t="s">
        <v>22</v>
      </c>
      <c r="AA71" s="1" t="s">
        <v>1471</v>
      </c>
    </row>
    <row r="72">
      <c r="A72" s="1" t="s">
        <v>707</v>
      </c>
      <c r="B72" s="1" t="s">
        <v>21</v>
      </c>
      <c r="C72" s="1" t="s">
        <v>708</v>
      </c>
      <c r="E72" s="2" t="s">
        <v>715</v>
      </c>
      <c r="G72" s="1" t="s">
        <v>1431</v>
      </c>
      <c r="I72" s="1" t="s">
        <v>710</v>
      </c>
      <c r="J72" s="1" t="s">
        <v>709</v>
      </c>
      <c r="K72" s="3" t="b">
        <v>1</v>
      </c>
      <c r="L72" s="1" t="s">
        <v>85</v>
      </c>
      <c r="M72" s="1" t="s">
        <v>708</v>
      </c>
      <c r="N72" s="2" t="s">
        <v>23</v>
      </c>
      <c r="O72" s="2" t="s">
        <v>86</v>
      </c>
      <c r="Q72" s="1" t="s">
        <v>711</v>
      </c>
      <c r="R72" s="2" t="s">
        <v>713</v>
      </c>
      <c r="S72" s="1" t="s">
        <v>89</v>
      </c>
      <c r="T72" s="4" t="str">
        <f>IMAGE("https://drive.google.com/uc?id=1f_FofslG-0XbNc1rBPzqW938t2FMsXed")</f>
        <v/>
      </c>
      <c r="U72" s="1" t="s">
        <v>94</v>
      </c>
      <c r="V72" s="1" t="s">
        <v>712</v>
      </c>
      <c r="W72" s="3">
        <v>10.0</v>
      </c>
      <c r="X72" s="1" t="s">
        <v>91</v>
      </c>
      <c r="Y72" s="1" t="s">
        <v>714</v>
      </c>
      <c r="Z72" s="1" t="s">
        <v>22</v>
      </c>
      <c r="AA72" s="1" t="s">
        <v>716</v>
      </c>
    </row>
    <row r="73">
      <c r="A73" s="1" t="s">
        <v>717</v>
      </c>
      <c r="B73" s="1" t="s">
        <v>21</v>
      </c>
      <c r="C73" s="1" t="s">
        <v>718</v>
      </c>
      <c r="E73" s="2" t="s">
        <v>725</v>
      </c>
      <c r="G73" s="1" t="s">
        <v>1431</v>
      </c>
      <c r="I73" s="1" t="s">
        <v>720</v>
      </c>
      <c r="J73" s="1" t="s">
        <v>719</v>
      </c>
      <c r="K73" s="3" t="b">
        <v>1</v>
      </c>
      <c r="L73" s="1" t="s">
        <v>85</v>
      </c>
      <c r="M73" s="1" t="s">
        <v>718</v>
      </c>
      <c r="N73" s="2" t="s">
        <v>23</v>
      </c>
      <c r="O73" s="2" t="s">
        <v>86</v>
      </c>
      <c r="Q73" s="1" t="s">
        <v>721</v>
      </c>
      <c r="R73" s="2" t="s">
        <v>723</v>
      </c>
      <c r="S73" s="1" t="s">
        <v>89</v>
      </c>
      <c r="T73" s="4" t="str">
        <f>IMAGE("https://drive.google.com/uc?id=1P0nG4IC-Yn6xdLpQnDDQXTUw2b8j3jZm")</f>
        <v/>
      </c>
      <c r="U73" s="1" t="s">
        <v>94</v>
      </c>
      <c r="V73" s="1" t="s">
        <v>722</v>
      </c>
      <c r="W73" s="3">
        <v>6.0</v>
      </c>
      <c r="X73" s="1" t="s">
        <v>91</v>
      </c>
      <c r="Y73" s="1" t="s">
        <v>724</v>
      </c>
      <c r="Z73" s="1" t="s">
        <v>22</v>
      </c>
      <c r="AA73" s="1" t="s">
        <v>726</v>
      </c>
    </row>
    <row r="74">
      <c r="A74" s="1" t="s">
        <v>727</v>
      </c>
      <c r="B74" s="1" t="s">
        <v>21</v>
      </c>
      <c r="C74" s="1" t="s">
        <v>728</v>
      </c>
      <c r="E74" s="2" t="s">
        <v>735</v>
      </c>
      <c r="G74" s="1" t="s">
        <v>1431</v>
      </c>
      <c r="I74" s="1" t="s">
        <v>730</v>
      </c>
      <c r="J74" s="1" t="s">
        <v>729</v>
      </c>
      <c r="K74" s="3" t="b">
        <v>1</v>
      </c>
      <c r="L74" s="1" t="s">
        <v>85</v>
      </c>
      <c r="M74" s="1" t="s">
        <v>728</v>
      </c>
      <c r="N74" s="2" t="s">
        <v>23</v>
      </c>
      <c r="O74" s="2" t="s">
        <v>86</v>
      </c>
      <c r="Q74" s="1" t="s">
        <v>731</v>
      </c>
      <c r="R74" s="2" t="s">
        <v>733</v>
      </c>
      <c r="S74" s="1" t="s">
        <v>89</v>
      </c>
      <c r="T74" s="4" t="str">
        <f>IMAGE("https://drive.google.com/uc?id=1HAEuNx8s9X2J6rFggRkgVYbyrT_6J_dm")</f>
        <v/>
      </c>
      <c r="U74" s="1" t="s">
        <v>94</v>
      </c>
      <c r="V74" s="1" t="s">
        <v>732</v>
      </c>
      <c r="W74" s="3">
        <v>6.0</v>
      </c>
      <c r="X74" s="1" t="s">
        <v>91</v>
      </c>
      <c r="Y74" s="1" t="s">
        <v>734</v>
      </c>
      <c r="Z74" s="1" t="s">
        <v>22</v>
      </c>
      <c r="AA74" s="1" t="s">
        <v>736</v>
      </c>
    </row>
    <row r="75">
      <c r="A75" s="1" t="s">
        <v>737</v>
      </c>
      <c r="B75" s="1" t="s">
        <v>21</v>
      </c>
      <c r="C75" s="1" t="s">
        <v>738</v>
      </c>
      <c r="E75" s="2" t="s">
        <v>745</v>
      </c>
      <c r="G75" s="1" t="s">
        <v>1431</v>
      </c>
      <c r="I75" s="1" t="s">
        <v>740</v>
      </c>
      <c r="J75" s="1" t="s">
        <v>739</v>
      </c>
      <c r="K75" s="3" t="b">
        <v>1</v>
      </c>
      <c r="L75" s="1" t="s">
        <v>85</v>
      </c>
      <c r="M75" s="1" t="s">
        <v>738</v>
      </c>
      <c r="N75" s="2" t="s">
        <v>23</v>
      </c>
      <c r="O75" s="2" t="s">
        <v>86</v>
      </c>
      <c r="Q75" s="1" t="s">
        <v>741</v>
      </c>
      <c r="R75" s="2" t="s">
        <v>743</v>
      </c>
      <c r="S75" s="1" t="s">
        <v>89</v>
      </c>
      <c r="T75" s="4" t="str">
        <f>IMAGE("https://drive.google.com/uc?id=1BDWb0oonnwqTzroWrwZdOg7K1qfbVVt-")</f>
        <v/>
      </c>
      <c r="U75" s="1" t="s">
        <v>94</v>
      </c>
      <c r="V75" s="1" t="s">
        <v>742</v>
      </c>
      <c r="W75" s="3">
        <v>5.0</v>
      </c>
      <c r="X75" s="1" t="s">
        <v>91</v>
      </c>
      <c r="Y75" s="1" t="s">
        <v>744</v>
      </c>
      <c r="Z75" s="1" t="s">
        <v>22</v>
      </c>
      <c r="AA75" s="1" t="s">
        <v>746</v>
      </c>
    </row>
    <row r="76">
      <c r="A76" s="1" t="s">
        <v>747</v>
      </c>
      <c r="B76" s="1" t="s">
        <v>5</v>
      </c>
      <c r="C76" s="1" t="s">
        <v>748</v>
      </c>
      <c r="E76" s="2" t="s">
        <v>755</v>
      </c>
      <c r="G76" s="1" t="s">
        <v>1431</v>
      </c>
      <c r="I76" s="1" t="s">
        <v>750</v>
      </c>
      <c r="J76" s="1" t="s">
        <v>749</v>
      </c>
      <c r="K76" s="3" t="b">
        <v>1</v>
      </c>
      <c r="L76" s="1" t="s">
        <v>85</v>
      </c>
      <c r="M76" s="1" t="s">
        <v>748</v>
      </c>
      <c r="N76" s="2" t="s">
        <v>7</v>
      </c>
      <c r="O76" s="2" t="s">
        <v>86</v>
      </c>
      <c r="Q76" s="1" t="s">
        <v>751</v>
      </c>
      <c r="R76" s="2" t="s">
        <v>753</v>
      </c>
      <c r="S76" s="1" t="s">
        <v>89</v>
      </c>
      <c r="T76" s="4" t="str">
        <f>IMAGE("https://drive.google.com/uc?id=1k8Mc0QJb9NfdFNJLRU2euYSzCq-9sL2q")</f>
        <v/>
      </c>
      <c r="U76" s="1" t="s">
        <v>94</v>
      </c>
      <c r="V76" s="1" t="s">
        <v>752</v>
      </c>
      <c r="W76" s="3">
        <v>3.0</v>
      </c>
      <c r="X76" s="1" t="s">
        <v>91</v>
      </c>
      <c r="Y76" s="1" t="s">
        <v>754</v>
      </c>
      <c r="Z76" s="1" t="s">
        <v>6</v>
      </c>
      <c r="AA76" s="1" t="s">
        <v>756</v>
      </c>
    </row>
    <row r="77">
      <c r="A77" s="1" t="s">
        <v>757</v>
      </c>
      <c r="B77" s="1" t="s">
        <v>5</v>
      </c>
      <c r="C77" s="1" t="s">
        <v>758</v>
      </c>
      <c r="E77" s="2" t="s">
        <v>765</v>
      </c>
      <c r="G77" s="1" t="s">
        <v>1431</v>
      </c>
      <c r="I77" s="1" t="s">
        <v>760</v>
      </c>
      <c r="J77" s="1" t="s">
        <v>759</v>
      </c>
      <c r="K77" s="3" t="b">
        <v>1</v>
      </c>
      <c r="L77" s="1" t="s">
        <v>85</v>
      </c>
      <c r="M77" s="1" t="s">
        <v>758</v>
      </c>
      <c r="N77" s="2" t="s">
        <v>7</v>
      </c>
      <c r="O77" s="2" t="s">
        <v>86</v>
      </c>
      <c r="Q77" s="1" t="s">
        <v>761</v>
      </c>
      <c r="R77" s="2" t="s">
        <v>763</v>
      </c>
      <c r="S77" s="1" t="s">
        <v>89</v>
      </c>
      <c r="T77" s="4" t="str">
        <f>IMAGE("https://drive.google.com/uc?id=1m21DTFDCqBkqtg5UGsMrmhvvS61nJwey")</f>
        <v/>
      </c>
      <c r="U77" s="1" t="s">
        <v>94</v>
      </c>
      <c r="V77" s="1" t="s">
        <v>762</v>
      </c>
      <c r="W77" s="3">
        <v>5.0</v>
      </c>
      <c r="X77" s="1" t="s">
        <v>91</v>
      </c>
      <c r="Y77" s="1" t="s">
        <v>764</v>
      </c>
      <c r="Z77" s="1" t="s">
        <v>6</v>
      </c>
      <c r="AA77" s="1" t="s">
        <v>766</v>
      </c>
    </row>
    <row r="78">
      <c r="A78" s="1" t="s">
        <v>821</v>
      </c>
      <c r="B78" s="1" t="s">
        <v>17</v>
      </c>
      <c r="C78" s="1" t="s">
        <v>822</v>
      </c>
      <c r="E78" s="2" t="s">
        <v>829</v>
      </c>
      <c r="G78" s="1" t="s">
        <v>1431</v>
      </c>
      <c r="I78" s="1" t="s">
        <v>824</v>
      </c>
      <c r="J78" s="1" t="s">
        <v>823</v>
      </c>
      <c r="K78" s="3" t="b">
        <v>1</v>
      </c>
      <c r="L78" s="1" t="s">
        <v>85</v>
      </c>
      <c r="M78" s="1" t="s">
        <v>822</v>
      </c>
      <c r="N78" s="2" t="s">
        <v>19</v>
      </c>
      <c r="O78" s="2" t="s">
        <v>86</v>
      </c>
      <c r="Q78" s="1" t="s">
        <v>825</v>
      </c>
      <c r="R78" s="2" t="s">
        <v>827</v>
      </c>
      <c r="S78" s="1" t="s">
        <v>89</v>
      </c>
      <c r="T78" s="4" t="str">
        <f>IMAGE("https://drive.google.com/uc?id=1WgIbT0d9hHkGjIyTHZ3qWly0ktOmXgXn")</f>
        <v/>
      </c>
      <c r="U78" s="1" t="s">
        <v>94</v>
      </c>
      <c r="V78" s="1" t="s">
        <v>826</v>
      </c>
      <c r="W78" s="3">
        <v>3.0</v>
      </c>
      <c r="X78" s="1" t="s">
        <v>91</v>
      </c>
      <c r="Y78" s="1" t="s">
        <v>828</v>
      </c>
      <c r="Z78" s="1" t="s">
        <v>18</v>
      </c>
      <c r="AA78" s="1" t="s">
        <v>830</v>
      </c>
    </row>
    <row r="79">
      <c r="A79" s="1" t="s">
        <v>767</v>
      </c>
      <c r="B79" s="1" t="s">
        <v>5</v>
      </c>
      <c r="C79" s="1" t="s">
        <v>768</v>
      </c>
      <c r="E79" s="2" t="s">
        <v>775</v>
      </c>
      <c r="G79" s="1" t="s">
        <v>1431</v>
      </c>
      <c r="I79" s="1" t="s">
        <v>770</v>
      </c>
      <c r="J79" s="1" t="s">
        <v>769</v>
      </c>
      <c r="K79" s="3" t="b">
        <v>1</v>
      </c>
      <c r="L79" s="1" t="s">
        <v>85</v>
      </c>
      <c r="M79" s="1" t="s">
        <v>768</v>
      </c>
      <c r="N79" s="2" t="s">
        <v>7</v>
      </c>
      <c r="O79" s="2" t="s">
        <v>86</v>
      </c>
      <c r="Q79" s="1" t="s">
        <v>771</v>
      </c>
      <c r="R79" s="2" t="s">
        <v>773</v>
      </c>
      <c r="S79" s="1" t="s">
        <v>89</v>
      </c>
      <c r="T79" s="4" t="str">
        <f>IMAGE("https://drive.google.com/uc?id=17yR_vLk5cJJpJQQGNiRz6A3kP7eA_vWy")</f>
        <v/>
      </c>
      <c r="U79" s="1" t="s">
        <v>94</v>
      </c>
      <c r="V79" s="1" t="s">
        <v>772</v>
      </c>
      <c r="W79" s="3">
        <v>3.0</v>
      </c>
      <c r="X79" s="1" t="s">
        <v>91</v>
      </c>
      <c r="Y79" s="1" t="s">
        <v>774</v>
      </c>
      <c r="Z79" s="1" t="s">
        <v>6</v>
      </c>
      <c r="AA79" s="1" t="s">
        <v>776</v>
      </c>
    </row>
    <row r="80">
      <c r="A80" s="1" t="s">
        <v>777</v>
      </c>
      <c r="B80" s="1" t="s">
        <v>5</v>
      </c>
      <c r="C80" s="1" t="s">
        <v>778</v>
      </c>
      <c r="E80" s="2" t="s">
        <v>785</v>
      </c>
      <c r="G80" s="1" t="s">
        <v>1431</v>
      </c>
      <c r="I80" s="1" t="s">
        <v>780</v>
      </c>
      <c r="J80" s="1" t="s">
        <v>779</v>
      </c>
      <c r="K80" s="3" t="b">
        <v>1</v>
      </c>
      <c r="L80" s="1" t="s">
        <v>85</v>
      </c>
      <c r="M80" s="1" t="s">
        <v>778</v>
      </c>
      <c r="N80" s="2" t="s">
        <v>7</v>
      </c>
      <c r="O80" s="2" t="s">
        <v>86</v>
      </c>
      <c r="Q80" s="1" t="s">
        <v>781</v>
      </c>
      <c r="R80" s="2" t="s">
        <v>783</v>
      </c>
      <c r="S80" s="1" t="s">
        <v>89</v>
      </c>
      <c r="T80" s="4" t="str">
        <f>IMAGE("https://drive.google.com/uc?id=1okYitVd-SpD92B_GZa74yEHRttLCIfLR")</f>
        <v/>
      </c>
      <c r="U80" s="1" t="s">
        <v>94</v>
      </c>
      <c r="V80" s="1" t="s">
        <v>782</v>
      </c>
      <c r="W80" s="3">
        <v>3.0</v>
      </c>
      <c r="X80" s="1" t="s">
        <v>91</v>
      </c>
      <c r="Y80" s="1" t="s">
        <v>784</v>
      </c>
      <c r="Z80" s="1" t="s">
        <v>6</v>
      </c>
      <c r="AA80" s="1" t="s">
        <v>786</v>
      </c>
    </row>
    <row r="81">
      <c r="A81" s="1" t="s">
        <v>787</v>
      </c>
      <c r="B81" s="1" t="s">
        <v>5</v>
      </c>
      <c r="C81" s="1" t="s">
        <v>788</v>
      </c>
      <c r="G81" s="1" t="s">
        <v>1439</v>
      </c>
      <c r="I81" s="1" t="s">
        <v>790</v>
      </c>
      <c r="J81" s="1" t="s">
        <v>789</v>
      </c>
      <c r="K81" s="3" t="b">
        <v>1</v>
      </c>
      <c r="L81" s="1" t="s">
        <v>85</v>
      </c>
      <c r="M81" s="1" t="s">
        <v>788</v>
      </c>
      <c r="N81" s="2" t="s">
        <v>7</v>
      </c>
      <c r="O81" s="2" t="s">
        <v>86</v>
      </c>
      <c r="Q81" s="1" t="s">
        <v>1472</v>
      </c>
      <c r="S81" s="1" t="s">
        <v>1421</v>
      </c>
      <c r="U81" s="1" t="s">
        <v>1473</v>
      </c>
      <c r="V81" s="1" t="s">
        <v>1474</v>
      </c>
      <c r="W81" s="3">
        <v>17.0</v>
      </c>
      <c r="X81" s="1" t="s">
        <v>1421</v>
      </c>
      <c r="Z81" s="1" t="s">
        <v>6</v>
      </c>
      <c r="AA81" s="1" t="s">
        <v>1475</v>
      </c>
    </row>
    <row r="82">
      <c r="A82" s="1" t="s">
        <v>791</v>
      </c>
      <c r="B82" s="1" t="s">
        <v>5</v>
      </c>
      <c r="C82" s="1" t="s">
        <v>792</v>
      </c>
      <c r="E82" s="2" t="s">
        <v>799</v>
      </c>
      <c r="G82" s="1" t="s">
        <v>1431</v>
      </c>
      <c r="I82" s="1" t="s">
        <v>794</v>
      </c>
      <c r="J82" s="1" t="s">
        <v>793</v>
      </c>
      <c r="K82" s="3" t="b">
        <v>1</v>
      </c>
      <c r="L82" s="1" t="s">
        <v>85</v>
      </c>
      <c r="M82" s="1" t="s">
        <v>792</v>
      </c>
      <c r="N82" s="2" t="s">
        <v>7</v>
      </c>
      <c r="O82" s="2" t="s">
        <v>86</v>
      </c>
      <c r="Q82" s="1" t="s">
        <v>795</v>
      </c>
      <c r="R82" s="2" t="s">
        <v>797</v>
      </c>
      <c r="S82" s="1" t="s">
        <v>89</v>
      </c>
      <c r="T82" s="4" t="str">
        <f>IMAGE("https://drive.google.com/uc?id=1wCoviRq70ODmORyg1UpxqrZk-56bFhPQ")</f>
        <v/>
      </c>
      <c r="U82" s="1" t="s">
        <v>94</v>
      </c>
      <c r="V82" s="1" t="s">
        <v>796</v>
      </c>
      <c r="W82" s="3">
        <v>3.0</v>
      </c>
      <c r="X82" s="1" t="s">
        <v>91</v>
      </c>
      <c r="Y82" s="1" t="s">
        <v>798</v>
      </c>
      <c r="Z82" s="1" t="s">
        <v>6</v>
      </c>
      <c r="AA82" s="1" t="s">
        <v>800</v>
      </c>
    </row>
    <row r="83">
      <c r="A83" s="1" t="s">
        <v>801</v>
      </c>
      <c r="B83" s="1" t="s">
        <v>5</v>
      </c>
      <c r="C83" s="1" t="s">
        <v>802</v>
      </c>
      <c r="E83" s="2" t="s">
        <v>809</v>
      </c>
      <c r="G83" s="1" t="s">
        <v>1439</v>
      </c>
      <c r="I83" s="1" t="s">
        <v>804</v>
      </c>
      <c r="J83" s="1" t="s">
        <v>803</v>
      </c>
      <c r="K83" s="3" t="b">
        <v>1</v>
      </c>
      <c r="L83" s="1" t="s">
        <v>85</v>
      </c>
      <c r="M83" s="1" t="s">
        <v>802</v>
      </c>
      <c r="N83" s="2" t="s">
        <v>7</v>
      </c>
      <c r="O83" s="2" t="s">
        <v>86</v>
      </c>
      <c r="Q83" s="1" t="s">
        <v>805</v>
      </c>
      <c r="R83" s="2" t="s">
        <v>807</v>
      </c>
      <c r="S83" s="1" t="s">
        <v>89</v>
      </c>
      <c r="T83" s="4" t="str">
        <f>IMAGE("https://drive.google.com/uc?id=1d_vwteGKCQxsBB4OfGpwdFM38TeDlKAA")</f>
        <v/>
      </c>
      <c r="U83" s="1" t="s">
        <v>94</v>
      </c>
      <c r="V83" s="1" t="s">
        <v>806</v>
      </c>
      <c r="W83" s="3">
        <v>3.0</v>
      </c>
      <c r="X83" s="1" t="s">
        <v>91</v>
      </c>
      <c r="Y83" s="1" t="s">
        <v>808</v>
      </c>
      <c r="Z83" s="1" t="s">
        <v>6</v>
      </c>
      <c r="AA83" s="1" t="s">
        <v>810</v>
      </c>
    </row>
    <row r="84">
      <c r="A84" s="1" t="s">
        <v>811</v>
      </c>
      <c r="B84" s="1" t="s">
        <v>5</v>
      </c>
      <c r="C84" s="1" t="s">
        <v>812</v>
      </c>
      <c r="E84" s="2" t="s">
        <v>819</v>
      </c>
      <c r="G84" s="1" t="s">
        <v>1439</v>
      </c>
      <c r="I84" s="1" t="s">
        <v>814</v>
      </c>
      <c r="J84" s="1" t="s">
        <v>813</v>
      </c>
      <c r="K84" s="3" t="b">
        <v>1</v>
      </c>
      <c r="L84" s="1" t="s">
        <v>85</v>
      </c>
      <c r="M84" s="1" t="s">
        <v>812</v>
      </c>
      <c r="N84" s="2" t="s">
        <v>7</v>
      </c>
      <c r="O84" s="2" t="s">
        <v>86</v>
      </c>
      <c r="Q84" s="1" t="s">
        <v>815</v>
      </c>
      <c r="R84" s="2" t="s">
        <v>817</v>
      </c>
      <c r="S84" s="1" t="s">
        <v>89</v>
      </c>
      <c r="T84" s="4" t="str">
        <f>IMAGE("https://drive.google.com/uc?id=1EEk3i_vFxVBh4K3o9mQaSifTREtg-_Q0")</f>
        <v/>
      </c>
      <c r="U84" s="1" t="s">
        <v>94</v>
      </c>
      <c r="V84" s="1" t="s">
        <v>816</v>
      </c>
      <c r="W84" s="3">
        <v>4.0</v>
      </c>
      <c r="X84" s="1" t="s">
        <v>91</v>
      </c>
      <c r="Y84" s="1" t="s">
        <v>818</v>
      </c>
      <c r="Z84" s="1" t="s">
        <v>6</v>
      </c>
      <c r="AA84" s="1" t="s">
        <v>820</v>
      </c>
    </row>
    <row r="85">
      <c r="A85" s="1" t="s">
        <v>831</v>
      </c>
      <c r="B85" s="1" t="s">
        <v>17</v>
      </c>
      <c r="C85" s="1" t="s">
        <v>832</v>
      </c>
      <c r="E85" s="2" t="s">
        <v>839</v>
      </c>
      <c r="G85" s="1" t="s">
        <v>1431</v>
      </c>
      <c r="I85" s="1" t="s">
        <v>834</v>
      </c>
      <c r="J85" s="1" t="s">
        <v>833</v>
      </c>
      <c r="K85" s="3" t="b">
        <v>1</v>
      </c>
      <c r="L85" s="1" t="s">
        <v>85</v>
      </c>
      <c r="M85" s="1" t="s">
        <v>832</v>
      </c>
      <c r="N85" s="2" t="s">
        <v>19</v>
      </c>
      <c r="O85" s="2" t="s">
        <v>86</v>
      </c>
      <c r="Q85" s="1" t="s">
        <v>835</v>
      </c>
      <c r="R85" s="2" t="s">
        <v>837</v>
      </c>
      <c r="S85" s="1" t="s">
        <v>89</v>
      </c>
      <c r="T85" s="4" t="str">
        <f>IMAGE("https://drive.google.com/uc?id=1cXRrWIW3f_aqWilUq-NliteaplrJcI1R")</f>
        <v/>
      </c>
      <c r="U85" s="1" t="s">
        <v>94</v>
      </c>
      <c r="V85" s="1" t="s">
        <v>836</v>
      </c>
      <c r="W85" s="3">
        <v>5.0</v>
      </c>
      <c r="X85" s="1" t="s">
        <v>91</v>
      </c>
      <c r="Y85" s="1" t="s">
        <v>838</v>
      </c>
      <c r="Z85" s="1" t="s">
        <v>18</v>
      </c>
      <c r="AA85" s="1" t="s">
        <v>840</v>
      </c>
    </row>
    <row r="86">
      <c r="A86" s="1" t="s">
        <v>841</v>
      </c>
      <c r="B86" s="1" t="s">
        <v>17</v>
      </c>
      <c r="C86" s="1" t="s">
        <v>842</v>
      </c>
      <c r="G86" s="1" t="s">
        <v>1439</v>
      </c>
      <c r="I86" s="1" t="s">
        <v>844</v>
      </c>
      <c r="J86" s="1" t="s">
        <v>843</v>
      </c>
      <c r="K86" s="3" t="b">
        <v>1</v>
      </c>
      <c r="L86" s="1" t="s">
        <v>85</v>
      </c>
      <c r="M86" s="1" t="s">
        <v>842</v>
      </c>
      <c r="N86" s="2" t="s">
        <v>19</v>
      </c>
      <c r="O86" s="2" t="s">
        <v>86</v>
      </c>
      <c r="Q86" s="1" t="s">
        <v>1476</v>
      </c>
      <c r="S86" s="1" t="s">
        <v>1421</v>
      </c>
      <c r="U86" s="1" t="s">
        <v>1477</v>
      </c>
      <c r="V86" s="1" t="s">
        <v>1478</v>
      </c>
      <c r="W86" s="3">
        <v>16.0</v>
      </c>
      <c r="X86" s="1" t="s">
        <v>1421</v>
      </c>
      <c r="Z86" s="1" t="s">
        <v>18</v>
      </c>
      <c r="AA86" s="1" t="s">
        <v>1479</v>
      </c>
    </row>
    <row r="87">
      <c r="A87" s="1" t="s">
        <v>845</v>
      </c>
      <c r="B87" s="1" t="s">
        <v>17</v>
      </c>
      <c r="C87" s="1" t="s">
        <v>846</v>
      </c>
      <c r="E87" s="2" t="s">
        <v>853</v>
      </c>
      <c r="G87" s="1" t="s">
        <v>1431</v>
      </c>
      <c r="I87" s="1" t="s">
        <v>848</v>
      </c>
      <c r="J87" s="1" t="s">
        <v>847</v>
      </c>
      <c r="K87" s="3" t="b">
        <v>1</v>
      </c>
      <c r="L87" s="1" t="s">
        <v>85</v>
      </c>
      <c r="M87" s="1" t="s">
        <v>846</v>
      </c>
      <c r="N87" s="2" t="s">
        <v>19</v>
      </c>
      <c r="O87" s="2" t="s">
        <v>86</v>
      </c>
      <c r="Q87" s="1" t="s">
        <v>849</v>
      </c>
      <c r="R87" s="2" t="s">
        <v>851</v>
      </c>
      <c r="S87" s="1" t="s">
        <v>89</v>
      </c>
      <c r="T87" s="4" t="str">
        <f>IMAGE("https://drive.google.com/uc?id=1nMaCePdTei_GCgL2eJIqnVBuB53XxlOw")</f>
        <v/>
      </c>
      <c r="U87" s="1" t="s">
        <v>94</v>
      </c>
      <c r="V87" s="1" t="s">
        <v>850</v>
      </c>
      <c r="W87" s="3">
        <v>5.0</v>
      </c>
      <c r="X87" s="1" t="s">
        <v>91</v>
      </c>
      <c r="Y87" s="1" t="s">
        <v>852</v>
      </c>
      <c r="Z87" s="1" t="s">
        <v>18</v>
      </c>
      <c r="AA87" s="1" t="s">
        <v>854</v>
      </c>
    </row>
    <row r="88">
      <c r="A88" s="1" t="s">
        <v>855</v>
      </c>
      <c r="B88" s="1" t="s">
        <v>17</v>
      </c>
      <c r="C88" s="1" t="s">
        <v>856</v>
      </c>
      <c r="E88" s="2" t="s">
        <v>863</v>
      </c>
      <c r="G88" s="1" t="s">
        <v>1431</v>
      </c>
      <c r="I88" s="1" t="s">
        <v>858</v>
      </c>
      <c r="J88" s="1" t="s">
        <v>857</v>
      </c>
      <c r="K88" s="3" t="b">
        <v>1</v>
      </c>
      <c r="L88" s="1" t="s">
        <v>85</v>
      </c>
      <c r="M88" s="1" t="s">
        <v>856</v>
      </c>
      <c r="N88" s="2" t="s">
        <v>19</v>
      </c>
      <c r="O88" s="2" t="s">
        <v>86</v>
      </c>
      <c r="Q88" s="1" t="s">
        <v>859</v>
      </c>
      <c r="R88" s="2" t="s">
        <v>861</v>
      </c>
      <c r="S88" s="1" t="s">
        <v>89</v>
      </c>
      <c r="T88" s="4" t="str">
        <f>IMAGE("https://drive.google.com/uc?id=1igngLxr74_o9J4ani_GvhiP9A9At1I1o")</f>
        <v/>
      </c>
      <c r="U88" s="1" t="s">
        <v>94</v>
      </c>
      <c r="V88" s="1" t="s">
        <v>860</v>
      </c>
      <c r="W88" s="3">
        <v>5.0</v>
      </c>
      <c r="X88" s="1" t="s">
        <v>91</v>
      </c>
      <c r="Y88" s="1" t="s">
        <v>862</v>
      </c>
      <c r="Z88" s="1" t="s">
        <v>18</v>
      </c>
      <c r="AA88" s="1" t="s">
        <v>864</v>
      </c>
    </row>
    <row r="89">
      <c r="A89" s="1" t="s">
        <v>865</v>
      </c>
      <c r="B89" s="1" t="s">
        <v>17</v>
      </c>
      <c r="C89" s="1" t="s">
        <v>866</v>
      </c>
      <c r="E89" s="2" t="s">
        <v>873</v>
      </c>
      <c r="G89" s="1" t="s">
        <v>1439</v>
      </c>
      <c r="I89" s="1" t="s">
        <v>868</v>
      </c>
      <c r="J89" s="1" t="s">
        <v>867</v>
      </c>
      <c r="K89" s="3" t="b">
        <v>1</v>
      </c>
      <c r="L89" s="1" t="s">
        <v>85</v>
      </c>
      <c r="M89" s="1" t="s">
        <v>866</v>
      </c>
      <c r="N89" s="2" t="s">
        <v>19</v>
      </c>
      <c r="O89" s="2" t="s">
        <v>86</v>
      </c>
      <c r="Q89" s="1" t="s">
        <v>869</v>
      </c>
      <c r="R89" s="2" t="s">
        <v>871</v>
      </c>
      <c r="S89" s="1" t="s">
        <v>89</v>
      </c>
      <c r="T89" s="4" t="str">
        <f>IMAGE("https://drive.google.com/uc?id=1Bof2TuB9xiTrMfTkWFLfDxoP-_690NZv")</f>
        <v/>
      </c>
      <c r="U89" s="1" t="s">
        <v>94</v>
      </c>
      <c r="V89" s="1" t="s">
        <v>870</v>
      </c>
      <c r="W89" s="3">
        <v>5.0</v>
      </c>
      <c r="X89" s="1" t="s">
        <v>91</v>
      </c>
      <c r="Y89" s="1" t="s">
        <v>872</v>
      </c>
      <c r="Z89" s="1" t="s">
        <v>18</v>
      </c>
      <c r="AA89" s="1" t="s">
        <v>874</v>
      </c>
    </row>
    <row r="90">
      <c r="A90" s="1" t="s">
        <v>875</v>
      </c>
      <c r="B90" s="1" t="s">
        <v>17</v>
      </c>
      <c r="C90" s="1" t="s">
        <v>876</v>
      </c>
      <c r="G90" s="1" t="s">
        <v>1439</v>
      </c>
      <c r="I90" s="1" t="s">
        <v>878</v>
      </c>
      <c r="J90" s="1" t="s">
        <v>877</v>
      </c>
      <c r="K90" s="3" t="b">
        <v>1</v>
      </c>
      <c r="L90" s="1" t="s">
        <v>85</v>
      </c>
      <c r="M90" s="1" t="s">
        <v>876</v>
      </c>
      <c r="N90" s="2" t="s">
        <v>19</v>
      </c>
      <c r="O90" s="2" t="s">
        <v>86</v>
      </c>
      <c r="Q90" s="1" t="s">
        <v>1480</v>
      </c>
      <c r="S90" s="1" t="s">
        <v>1421</v>
      </c>
      <c r="U90" s="1" t="s">
        <v>1481</v>
      </c>
      <c r="V90" s="1" t="s">
        <v>1482</v>
      </c>
      <c r="W90" s="3">
        <v>1.0</v>
      </c>
      <c r="X90" s="1" t="s">
        <v>1421</v>
      </c>
      <c r="Z90" s="1" t="s">
        <v>18</v>
      </c>
      <c r="AA90" s="1" t="s">
        <v>1483</v>
      </c>
    </row>
    <row r="91">
      <c r="A91" s="1" t="s">
        <v>879</v>
      </c>
      <c r="B91" s="1" t="s">
        <v>9</v>
      </c>
      <c r="C91" s="1" t="s">
        <v>880</v>
      </c>
      <c r="E91" s="2" t="s">
        <v>887</v>
      </c>
      <c r="G91" s="1" t="s">
        <v>1431</v>
      </c>
      <c r="I91" s="1" t="s">
        <v>882</v>
      </c>
      <c r="J91" s="1" t="s">
        <v>881</v>
      </c>
      <c r="K91" s="3" t="b">
        <v>1</v>
      </c>
      <c r="L91" s="1" t="s">
        <v>85</v>
      </c>
      <c r="M91" s="1" t="s">
        <v>880</v>
      </c>
      <c r="N91" s="2" t="s">
        <v>11</v>
      </c>
      <c r="O91" s="2" t="s">
        <v>86</v>
      </c>
      <c r="Q91" s="1" t="s">
        <v>883</v>
      </c>
      <c r="R91" s="2" t="s">
        <v>885</v>
      </c>
      <c r="S91" s="1" t="s">
        <v>89</v>
      </c>
      <c r="T91" s="4" t="str">
        <f>IMAGE("https://drive.google.com/uc?id=1JWIXV01RywnBzugWwPyBNCxbHli8gLmi")</f>
        <v/>
      </c>
      <c r="U91" s="1" t="s">
        <v>94</v>
      </c>
      <c r="V91" s="1" t="s">
        <v>884</v>
      </c>
      <c r="W91" s="3">
        <v>5.0</v>
      </c>
      <c r="X91" s="1" t="s">
        <v>91</v>
      </c>
      <c r="Y91" s="1" t="s">
        <v>886</v>
      </c>
      <c r="Z91" s="1" t="s">
        <v>10</v>
      </c>
      <c r="AA91" s="1" t="s">
        <v>888</v>
      </c>
    </row>
    <row r="92">
      <c r="A92" s="1" t="s">
        <v>889</v>
      </c>
      <c r="B92" s="1" t="s">
        <v>9</v>
      </c>
      <c r="C92" s="1" t="s">
        <v>890</v>
      </c>
      <c r="E92" s="2" t="s">
        <v>897</v>
      </c>
      <c r="G92" s="1" t="s">
        <v>1431</v>
      </c>
      <c r="I92" s="1" t="s">
        <v>892</v>
      </c>
      <c r="J92" s="1" t="s">
        <v>891</v>
      </c>
      <c r="K92" s="3" t="b">
        <v>1</v>
      </c>
      <c r="L92" s="1" t="s">
        <v>85</v>
      </c>
      <c r="M92" s="1" t="s">
        <v>890</v>
      </c>
      <c r="N92" s="2" t="s">
        <v>11</v>
      </c>
      <c r="O92" s="2" t="s">
        <v>86</v>
      </c>
      <c r="Q92" s="1" t="s">
        <v>893</v>
      </c>
      <c r="R92" s="2" t="s">
        <v>895</v>
      </c>
      <c r="S92" s="1" t="s">
        <v>89</v>
      </c>
      <c r="T92" s="4" t="str">
        <f>IMAGE("https://drive.google.com/uc?id=1iGLzVBImXNRnY2YToTGfO4dQB5NffJVA")</f>
        <v/>
      </c>
      <c r="U92" s="1" t="s">
        <v>94</v>
      </c>
      <c r="V92" s="1" t="s">
        <v>894</v>
      </c>
      <c r="W92" s="3">
        <v>5.0</v>
      </c>
      <c r="X92" s="1" t="s">
        <v>91</v>
      </c>
      <c r="Y92" s="1" t="s">
        <v>896</v>
      </c>
      <c r="Z92" s="1" t="s">
        <v>10</v>
      </c>
      <c r="AA92" s="1" t="s">
        <v>898</v>
      </c>
    </row>
    <row r="93">
      <c r="A93" s="1" t="s">
        <v>899</v>
      </c>
      <c r="B93" s="1" t="s">
        <v>9</v>
      </c>
      <c r="C93" s="1" t="s">
        <v>900</v>
      </c>
      <c r="E93" s="2" t="s">
        <v>907</v>
      </c>
      <c r="G93" s="1" t="s">
        <v>1439</v>
      </c>
      <c r="I93" s="1" t="s">
        <v>902</v>
      </c>
      <c r="J93" s="1" t="s">
        <v>901</v>
      </c>
      <c r="K93" s="3" t="b">
        <v>1</v>
      </c>
      <c r="L93" s="1" t="s">
        <v>85</v>
      </c>
      <c r="M93" s="1" t="s">
        <v>900</v>
      </c>
      <c r="N93" s="2" t="s">
        <v>11</v>
      </c>
      <c r="O93" s="2" t="s">
        <v>86</v>
      </c>
      <c r="Q93" s="1" t="s">
        <v>903</v>
      </c>
      <c r="R93" s="2" t="s">
        <v>905</v>
      </c>
      <c r="S93" s="1" t="s">
        <v>89</v>
      </c>
      <c r="T93" s="4" t="str">
        <f>IMAGE("https://drive.google.com/uc?id=1fXrz7fIsWbU0JGnwW8q2oaAFGyPTaIjO")</f>
        <v/>
      </c>
      <c r="U93" s="1" t="s">
        <v>94</v>
      </c>
      <c r="V93" s="1" t="s">
        <v>904</v>
      </c>
      <c r="W93" s="3">
        <v>5.0</v>
      </c>
      <c r="X93" s="1" t="s">
        <v>91</v>
      </c>
      <c r="Y93" s="1" t="s">
        <v>906</v>
      </c>
      <c r="Z93" s="1" t="s">
        <v>10</v>
      </c>
      <c r="AA93" s="1" t="s">
        <v>908</v>
      </c>
    </row>
    <row r="94">
      <c r="A94" s="1" t="s">
        <v>909</v>
      </c>
      <c r="B94" s="1" t="s">
        <v>9</v>
      </c>
      <c r="C94" s="1" t="s">
        <v>910</v>
      </c>
      <c r="G94" s="1" t="s">
        <v>1439</v>
      </c>
      <c r="I94" s="1" t="s">
        <v>912</v>
      </c>
      <c r="J94" s="1" t="s">
        <v>911</v>
      </c>
      <c r="K94" s="3" t="b">
        <v>1</v>
      </c>
      <c r="L94" s="1" t="s">
        <v>85</v>
      </c>
      <c r="M94" s="1" t="s">
        <v>910</v>
      </c>
      <c r="N94" s="2" t="s">
        <v>11</v>
      </c>
      <c r="O94" s="2" t="s">
        <v>86</v>
      </c>
      <c r="Q94" s="1" t="s">
        <v>1484</v>
      </c>
      <c r="S94" s="1" t="s">
        <v>1421</v>
      </c>
      <c r="U94" s="1" t="s">
        <v>1457</v>
      </c>
      <c r="V94" s="1" t="s">
        <v>1485</v>
      </c>
      <c r="W94" s="3">
        <v>20.0</v>
      </c>
      <c r="X94" s="1" t="s">
        <v>1421</v>
      </c>
      <c r="Z94" s="1" t="s">
        <v>10</v>
      </c>
      <c r="AA94" s="1" t="s">
        <v>1486</v>
      </c>
    </row>
    <row r="95">
      <c r="A95" s="1" t="s">
        <v>913</v>
      </c>
      <c r="B95" s="1" t="s">
        <v>9</v>
      </c>
      <c r="C95" s="1" t="s">
        <v>914</v>
      </c>
      <c r="E95" s="2" t="s">
        <v>921</v>
      </c>
      <c r="G95" s="1" t="s">
        <v>1439</v>
      </c>
      <c r="I95" s="1" t="s">
        <v>916</v>
      </c>
      <c r="J95" s="1" t="s">
        <v>915</v>
      </c>
      <c r="K95" s="3" t="b">
        <v>1</v>
      </c>
      <c r="L95" s="1" t="s">
        <v>85</v>
      </c>
      <c r="M95" s="1" t="s">
        <v>914</v>
      </c>
      <c r="N95" s="2" t="s">
        <v>11</v>
      </c>
      <c r="O95" s="2" t="s">
        <v>86</v>
      </c>
      <c r="Q95" s="1" t="s">
        <v>917</v>
      </c>
      <c r="R95" s="2" t="s">
        <v>919</v>
      </c>
      <c r="S95" s="1" t="s">
        <v>89</v>
      </c>
      <c r="T95" s="4" t="str">
        <f>IMAGE("https://drive.google.com/uc?id=1hccahspqV0banm876ikyglhfyErqqMgB")</f>
        <v/>
      </c>
      <c r="U95" s="1" t="s">
        <v>94</v>
      </c>
      <c r="V95" s="1" t="s">
        <v>918</v>
      </c>
      <c r="W95" s="3">
        <v>6.0</v>
      </c>
      <c r="X95" s="1" t="s">
        <v>91</v>
      </c>
      <c r="Y95" s="1" t="s">
        <v>920</v>
      </c>
      <c r="Z95" s="1" t="s">
        <v>10</v>
      </c>
      <c r="AA95" s="1" t="s">
        <v>922</v>
      </c>
    </row>
    <row r="96">
      <c r="A96" s="1" t="s">
        <v>923</v>
      </c>
      <c r="B96" s="1" t="s">
        <v>9</v>
      </c>
      <c r="C96" s="1" t="s">
        <v>924</v>
      </c>
      <c r="E96" s="2" t="s">
        <v>931</v>
      </c>
      <c r="G96" s="1" t="s">
        <v>1439</v>
      </c>
      <c r="I96" s="1" t="s">
        <v>926</v>
      </c>
      <c r="J96" s="1" t="s">
        <v>925</v>
      </c>
      <c r="K96" s="3" t="b">
        <v>1</v>
      </c>
      <c r="L96" s="1" t="s">
        <v>85</v>
      </c>
      <c r="M96" s="1" t="s">
        <v>924</v>
      </c>
      <c r="N96" s="2" t="s">
        <v>11</v>
      </c>
      <c r="O96" s="2" t="s">
        <v>86</v>
      </c>
      <c r="Q96" s="1" t="s">
        <v>927</v>
      </c>
      <c r="R96" s="2" t="s">
        <v>929</v>
      </c>
      <c r="S96" s="1" t="s">
        <v>89</v>
      </c>
      <c r="T96" s="4" t="str">
        <f>IMAGE("https://drive.google.com/uc?id=1Wo_wiUtulyUVXvi66T7Uj02w9AA3rKbK")</f>
        <v/>
      </c>
      <c r="U96" s="1" t="s">
        <v>94</v>
      </c>
      <c r="V96" s="1" t="s">
        <v>928</v>
      </c>
      <c r="W96" s="3">
        <v>5.0</v>
      </c>
      <c r="X96" s="1" t="s">
        <v>91</v>
      </c>
      <c r="Y96" s="1" t="s">
        <v>930</v>
      </c>
      <c r="Z96" s="1" t="s">
        <v>10</v>
      </c>
      <c r="AA96" s="1" t="s">
        <v>932</v>
      </c>
    </row>
    <row r="97">
      <c r="A97" s="1" t="s">
        <v>933</v>
      </c>
      <c r="B97" s="1" t="s">
        <v>9</v>
      </c>
      <c r="C97" s="1" t="s">
        <v>934</v>
      </c>
      <c r="E97" s="2" t="s">
        <v>941</v>
      </c>
      <c r="G97" s="1" t="s">
        <v>1439</v>
      </c>
      <c r="I97" s="1" t="s">
        <v>936</v>
      </c>
      <c r="J97" s="1" t="s">
        <v>935</v>
      </c>
      <c r="K97" s="3" t="b">
        <v>1</v>
      </c>
      <c r="L97" s="1" t="s">
        <v>85</v>
      </c>
      <c r="M97" s="1" t="s">
        <v>934</v>
      </c>
      <c r="N97" s="2" t="s">
        <v>11</v>
      </c>
      <c r="O97" s="2" t="s">
        <v>86</v>
      </c>
      <c r="Q97" s="1" t="s">
        <v>937</v>
      </c>
      <c r="R97" s="2" t="s">
        <v>939</v>
      </c>
      <c r="S97" s="1" t="s">
        <v>89</v>
      </c>
      <c r="T97" s="4" t="str">
        <f>IMAGE("https://drive.google.com/uc?id=1c3Be8fh4eJ2GrAlHdWigUarPyo0WdSWa")</f>
        <v/>
      </c>
      <c r="U97" s="1" t="s">
        <v>94</v>
      </c>
      <c r="V97" s="1" t="s">
        <v>938</v>
      </c>
      <c r="W97" s="3">
        <v>8.0</v>
      </c>
      <c r="X97" s="1" t="s">
        <v>91</v>
      </c>
      <c r="Y97" s="1" t="s">
        <v>940</v>
      </c>
      <c r="Z97" s="1" t="s">
        <v>10</v>
      </c>
      <c r="AA97" s="1" t="s">
        <v>942</v>
      </c>
    </row>
    <row r="98">
      <c r="A98" s="1" t="s">
        <v>943</v>
      </c>
      <c r="B98" s="1" t="s">
        <v>9</v>
      </c>
      <c r="C98" s="1" t="s">
        <v>944</v>
      </c>
      <c r="E98" s="2" t="s">
        <v>951</v>
      </c>
      <c r="G98" s="1" t="s">
        <v>1439</v>
      </c>
      <c r="I98" s="1" t="s">
        <v>946</v>
      </c>
      <c r="J98" s="1" t="s">
        <v>945</v>
      </c>
      <c r="K98" s="3" t="b">
        <v>1</v>
      </c>
      <c r="L98" s="1" t="s">
        <v>85</v>
      </c>
      <c r="M98" s="1" t="s">
        <v>944</v>
      </c>
      <c r="N98" s="2" t="s">
        <v>11</v>
      </c>
      <c r="O98" s="2" t="s">
        <v>86</v>
      </c>
      <c r="Q98" s="1" t="s">
        <v>947</v>
      </c>
      <c r="R98" s="2" t="s">
        <v>949</v>
      </c>
      <c r="S98" s="1" t="s">
        <v>89</v>
      </c>
      <c r="T98" s="4" t="str">
        <f>IMAGE("https://drive.google.com/uc?id=1QnfIUdLFzzPUaReQLTkLaDW3YNLBff_G")</f>
        <v/>
      </c>
      <c r="U98" s="1" t="s">
        <v>94</v>
      </c>
      <c r="V98" s="1" t="s">
        <v>948</v>
      </c>
      <c r="W98" s="3">
        <v>6.0</v>
      </c>
      <c r="X98" s="1" t="s">
        <v>91</v>
      </c>
      <c r="Y98" s="1" t="s">
        <v>950</v>
      </c>
      <c r="Z98" s="1" t="s">
        <v>10</v>
      </c>
      <c r="AA98" s="1" t="s">
        <v>952</v>
      </c>
    </row>
    <row r="99">
      <c r="A99" s="1" t="s">
        <v>953</v>
      </c>
      <c r="B99" s="1" t="s">
        <v>9</v>
      </c>
      <c r="C99" s="1" t="s">
        <v>954</v>
      </c>
      <c r="E99" s="2" t="s">
        <v>961</v>
      </c>
      <c r="G99" s="1" t="s">
        <v>1439</v>
      </c>
      <c r="I99" s="1" t="s">
        <v>956</v>
      </c>
      <c r="J99" s="1" t="s">
        <v>955</v>
      </c>
      <c r="K99" s="3" t="b">
        <v>1</v>
      </c>
      <c r="L99" s="1" t="s">
        <v>85</v>
      </c>
      <c r="M99" s="1" t="s">
        <v>954</v>
      </c>
      <c r="N99" s="2" t="s">
        <v>11</v>
      </c>
      <c r="O99" s="2" t="s">
        <v>86</v>
      </c>
      <c r="Q99" s="1" t="s">
        <v>957</v>
      </c>
      <c r="R99" s="2" t="s">
        <v>959</v>
      </c>
      <c r="S99" s="1" t="s">
        <v>89</v>
      </c>
      <c r="T99" s="4" t="str">
        <f>IMAGE("https://drive.google.com/uc?id=1WetMA-KcTPlBB3XFeEimnVNLRjbjg8Th")</f>
        <v/>
      </c>
      <c r="U99" s="1" t="s">
        <v>94</v>
      </c>
      <c r="V99" s="1" t="s">
        <v>958</v>
      </c>
      <c r="W99" s="3">
        <v>2.0</v>
      </c>
      <c r="X99" s="1" t="s">
        <v>91</v>
      </c>
      <c r="Y99" s="1" t="s">
        <v>960</v>
      </c>
      <c r="Z99" s="1" t="s">
        <v>10</v>
      </c>
      <c r="AA99" s="1" t="s">
        <v>962</v>
      </c>
    </row>
    <row r="100">
      <c r="A100" s="1" t="s">
        <v>963</v>
      </c>
      <c r="B100" s="1" t="s">
        <v>9</v>
      </c>
      <c r="C100" s="1" t="s">
        <v>964</v>
      </c>
      <c r="E100" s="2" t="s">
        <v>971</v>
      </c>
      <c r="G100" s="1" t="s">
        <v>1439</v>
      </c>
      <c r="I100" s="1" t="s">
        <v>966</v>
      </c>
      <c r="J100" s="1" t="s">
        <v>965</v>
      </c>
      <c r="K100" s="3" t="b">
        <v>1</v>
      </c>
      <c r="L100" s="1" t="s">
        <v>85</v>
      </c>
      <c r="M100" s="1" t="s">
        <v>964</v>
      </c>
      <c r="N100" s="2" t="s">
        <v>11</v>
      </c>
      <c r="O100" s="2" t="s">
        <v>86</v>
      </c>
      <c r="Q100" s="1" t="s">
        <v>967</v>
      </c>
      <c r="R100" s="2" t="s">
        <v>969</v>
      </c>
      <c r="S100" s="1" t="s">
        <v>89</v>
      </c>
      <c r="T100" s="4" t="str">
        <f>IMAGE("https://drive.google.com/uc?id=1SHyHQrss6hpg7gSWoCtN9LkiVjwTayD1")</f>
        <v/>
      </c>
      <c r="U100" s="1" t="s">
        <v>94</v>
      </c>
      <c r="V100" s="1" t="s">
        <v>968</v>
      </c>
      <c r="W100" s="3">
        <v>5.0</v>
      </c>
      <c r="X100" s="1" t="s">
        <v>91</v>
      </c>
      <c r="Y100" s="1" t="s">
        <v>970</v>
      </c>
      <c r="Z100" s="1" t="s">
        <v>10</v>
      </c>
      <c r="AA100" s="1" t="s">
        <v>972</v>
      </c>
    </row>
    <row r="101">
      <c r="A101" s="1" t="s">
        <v>973</v>
      </c>
      <c r="B101" s="1" t="s">
        <v>21</v>
      </c>
      <c r="C101" s="1" t="s">
        <v>974</v>
      </c>
      <c r="E101" s="2" t="s">
        <v>981</v>
      </c>
      <c r="G101" s="1" t="s">
        <v>1431</v>
      </c>
      <c r="I101" s="1" t="s">
        <v>976</v>
      </c>
      <c r="J101" s="1" t="s">
        <v>975</v>
      </c>
      <c r="K101" s="3" t="b">
        <v>1</v>
      </c>
      <c r="L101" s="1" t="s">
        <v>85</v>
      </c>
      <c r="M101" s="1" t="s">
        <v>974</v>
      </c>
      <c r="N101" s="2" t="s">
        <v>23</v>
      </c>
      <c r="O101" s="2" t="s">
        <v>86</v>
      </c>
      <c r="Q101" s="1" t="s">
        <v>977</v>
      </c>
      <c r="R101" s="2" t="s">
        <v>979</v>
      </c>
      <c r="S101" s="1" t="s">
        <v>89</v>
      </c>
      <c r="T101" s="4" t="str">
        <f>IMAGE("https://drive.google.com/uc?id=1eeP7pdNwA2Hl7dqvxekbNNHSrsyB4oqa")</f>
        <v/>
      </c>
      <c r="U101" s="1" t="s">
        <v>94</v>
      </c>
      <c r="V101" s="1" t="s">
        <v>978</v>
      </c>
      <c r="W101" s="3">
        <v>5.0</v>
      </c>
      <c r="X101" s="1" t="s">
        <v>91</v>
      </c>
      <c r="Y101" s="1" t="s">
        <v>980</v>
      </c>
      <c r="Z101" s="1" t="s">
        <v>22</v>
      </c>
      <c r="AA101" s="1" t="s">
        <v>982</v>
      </c>
    </row>
    <row r="102">
      <c r="A102" s="1" t="s">
        <v>983</v>
      </c>
      <c r="B102" s="1" t="s">
        <v>21</v>
      </c>
      <c r="C102" s="1" t="s">
        <v>984</v>
      </c>
      <c r="E102" s="2" t="s">
        <v>991</v>
      </c>
      <c r="G102" s="1" t="s">
        <v>1431</v>
      </c>
      <c r="I102" s="1" t="s">
        <v>986</v>
      </c>
      <c r="J102" s="1" t="s">
        <v>985</v>
      </c>
      <c r="K102" s="3" t="b">
        <v>1</v>
      </c>
      <c r="L102" s="1" t="s">
        <v>85</v>
      </c>
      <c r="M102" s="1" t="s">
        <v>984</v>
      </c>
      <c r="N102" s="2" t="s">
        <v>23</v>
      </c>
      <c r="O102" s="2" t="s">
        <v>86</v>
      </c>
      <c r="Q102" s="1" t="s">
        <v>987</v>
      </c>
      <c r="R102" s="2" t="s">
        <v>989</v>
      </c>
      <c r="S102" s="1" t="s">
        <v>89</v>
      </c>
      <c r="T102" s="4" t="str">
        <f>IMAGE("https://drive.google.com/uc?id=17rPBiaZp0VKCCM9vyWuGarPq5CTzQiDJ")</f>
        <v/>
      </c>
      <c r="U102" s="1" t="s">
        <v>94</v>
      </c>
      <c r="V102" s="1" t="s">
        <v>988</v>
      </c>
      <c r="W102" s="3">
        <v>5.0</v>
      </c>
      <c r="X102" s="1" t="s">
        <v>91</v>
      </c>
      <c r="Y102" s="1" t="s">
        <v>990</v>
      </c>
      <c r="Z102" s="1" t="s">
        <v>22</v>
      </c>
      <c r="AA102" s="1" t="s">
        <v>992</v>
      </c>
    </row>
    <row r="103">
      <c r="A103" s="1" t="s">
        <v>993</v>
      </c>
      <c r="B103" s="1" t="s">
        <v>21</v>
      </c>
      <c r="C103" s="1" t="s">
        <v>994</v>
      </c>
      <c r="E103" s="2" t="s">
        <v>1001</v>
      </c>
      <c r="G103" s="1" t="s">
        <v>1439</v>
      </c>
      <c r="I103" s="1" t="s">
        <v>996</v>
      </c>
      <c r="J103" s="1" t="s">
        <v>995</v>
      </c>
      <c r="K103" s="3" t="b">
        <v>1</v>
      </c>
      <c r="L103" s="1" t="s">
        <v>85</v>
      </c>
      <c r="M103" s="1" t="s">
        <v>994</v>
      </c>
      <c r="N103" s="2" t="s">
        <v>23</v>
      </c>
      <c r="O103" s="2" t="s">
        <v>86</v>
      </c>
      <c r="Q103" s="1" t="s">
        <v>997</v>
      </c>
      <c r="R103" s="2" t="s">
        <v>999</v>
      </c>
      <c r="S103" s="1" t="s">
        <v>89</v>
      </c>
      <c r="T103" s="4" t="str">
        <f>IMAGE("https://drive.google.com/uc?id=1RcenUgdXXOG5jyzQghL683jv8RGTEezB")</f>
        <v/>
      </c>
      <c r="U103" s="1" t="s">
        <v>94</v>
      </c>
      <c r="V103" s="1" t="s">
        <v>998</v>
      </c>
      <c r="W103" s="3">
        <v>5.0</v>
      </c>
      <c r="X103" s="1" t="s">
        <v>91</v>
      </c>
      <c r="Y103" s="1" t="s">
        <v>1000</v>
      </c>
      <c r="Z103" s="1" t="s">
        <v>22</v>
      </c>
      <c r="AA103" s="1" t="s">
        <v>1002</v>
      </c>
    </row>
    <row r="104">
      <c r="A104" s="1" t="s">
        <v>1003</v>
      </c>
      <c r="B104" s="1" t="s">
        <v>21</v>
      </c>
      <c r="C104" s="1" t="s">
        <v>1004</v>
      </c>
      <c r="E104" s="2" t="s">
        <v>1011</v>
      </c>
      <c r="G104" s="1" t="s">
        <v>1439</v>
      </c>
      <c r="I104" s="1" t="s">
        <v>1006</v>
      </c>
      <c r="J104" s="1" t="s">
        <v>1005</v>
      </c>
      <c r="K104" s="3" t="b">
        <v>1</v>
      </c>
      <c r="L104" s="1" t="s">
        <v>85</v>
      </c>
      <c r="M104" s="1" t="s">
        <v>1004</v>
      </c>
      <c r="N104" s="2" t="s">
        <v>23</v>
      </c>
      <c r="O104" s="2" t="s">
        <v>86</v>
      </c>
      <c r="Q104" s="1" t="s">
        <v>1007</v>
      </c>
      <c r="R104" s="2" t="s">
        <v>1009</v>
      </c>
      <c r="S104" s="1" t="s">
        <v>89</v>
      </c>
      <c r="T104" s="4" t="str">
        <f>IMAGE("https://drive.google.com/uc?id=1CMGiy-g6BEw9eJuSmQM53dMb3u7HPYpw")</f>
        <v/>
      </c>
      <c r="U104" s="1" t="s">
        <v>94</v>
      </c>
      <c r="V104" s="1" t="s">
        <v>1008</v>
      </c>
      <c r="W104" s="3">
        <v>3.0</v>
      </c>
      <c r="X104" s="1" t="s">
        <v>91</v>
      </c>
      <c r="Y104" s="1" t="s">
        <v>1010</v>
      </c>
      <c r="Z104" s="1" t="s">
        <v>22</v>
      </c>
      <c r="AA104" s="1" t="s">
        <v>1012</v>
      </c>
    </row>
    <row r="105">
      <c r="A105" s="1" t="s">
        <v>1013</v>
      </c>
      <c r="B105" s="1" t="s">
        <v>21</v>
      </c>
      <c r="C105" s="1" t="s">
        <v>1014</v>
      </c>
      <c r="E105" s="2" t="s">
        <v>1021</v>
      </c>
      <c r="G105" s="1" t="s">
        <v>1439</v>
      </c>
      <c r="I105" s="1" t="s">
        <v>1016</v>
      </c>
      <c r="J105" s="1" t="s">
        <v>1015</v>
      </c>
      <c r="K105" s="3" t="b">
        <v>1</v>
      </c>
      <c r="L105" s="1" t="s">
        <v>85</v>
      </c>
      <c r="M105" s="1" t="s">
        <v>1014</v>
      </c>
      <c r="N105" s="2" t="s">
        <v>23</v>
      </c>
      <c r="O105" s="2" t="s">
        <v>86</v>
      </c>
      <c r="Q105" s="1" t="s">
        <v>1017</v>
      </c>
      <c r="R105" s="2" t="s">
        <v>1019</v>
      </c>
      <c r="S105" s="1" t="s">
        <v>89</v>
      </c>
      <c r="T105" s="4" t="str">
        <f>IMAGE("https://drive.google.com/uc?id=1NkTiICUIozsy0k38fJMOaxHU8FLF4xs3")</f>
        <v/>
      </c>
      <c r="U105" s="1" t="s">
        <v>94</v>
      </c>
      <c r="V105" s="1" t="s">
        <v>1018</v>
      </c>
      <c r="W105" s="3">
        <v>3.0</v>
      </c>
      <c r="X105" s="1" t="s">
        <v>91</v>
      </c>
      <c r="Y105" s="1" t="s">
        <v>1020</v>
      </c>
      <c r="Z105" s="1" t="s">
        <v>22</v>
      </c>
      <c r="AA105" s="1" t="s">
        <v>1022</v>
      </c>
    </row>
    <row r="106">
      <c r="A106" s="1" t="s">
        <v>1023</v>
      </c>
      <c r="B106" s="1" t="s">
        <v>21</v>
      </c>
      <c r="C106" s="1" t="s">
        <v>1024</v>
      </c>
      <c r="E106" s="2" t="s">
        <v>1031</v>
      </c>
      <c r="G106" s="1" t="s">
        <v>1439</v>
      </c>
      <c r="I106" s="1" t="s">
        <v>1026</v>
      </c>
      <c r="J106" s="1" t="s">
        <v>1025</v>
      </c>
      <c r="K106" s="3" t="b">
        <v>1</v>
      </c>
      <c r="L106" s="1" t="s">
        <v>85</v>
      </c>
      <c r="M106" s="1" t="s">
        <v>1024</v>
      </c>
      <c r="N106" s="2" t="s">
        <v>23</v>
      </c>
      <c r="O106" s="2" t="s">
        <v>86</v>
      </c>
      <c r="Q106" s="1" t="s">
        <v>1027</v>
      </c>
      <c r="R106" s="2" t="s">
        <v>1029</v>
      </c>
      <c r="S106" s="1" t="s">
        <v>89</v>
      </c>
      <c r="T106" s="4" t="str">
        <f>IMAGE("https://drive.google.com/uc?id=1WBFcOI4E9unDmTCCfst5o-rnVYzb7F_Q")</f>
        <v/>
      </c>
      <c r="U106" s="1" t="s">
        <v>94</v>
      </c>
      <c r="V106" s="1" t="s">
        <v>1028</v>
      </c>
      <c r="W106" s="3">
        <v>6.0</v>
      </c>
      <c r="X106" s="1" t="s">
        <v>91</v>
      </c>
      <c r="Y106" s="1" t="s">
        <v>1030</v>
      </c>
      <c r="Z106" s="1" t="s">
        <v>22</v>
      </c>
      <c r="AA106" s="1" t="s">
        <v>1032</v>
      </c>
    </row>
    <row r="107">
      <c r="A107" s="1" t="s">
        <v>1033</v>
      </c>
      <c r="B107" s="1" t="s">
        <v>21</v>
      </c>
      <c r="C107" s="1" t="s">
        <v>1034</v>
      </c>
      <c r="E107" s="2" t="s">
        <v>1041</v>
      </c>
      <c r="G107" s="1" t="s">
        <v>1439</v>
      </c>
      <c r="I107" s="1" t="s">
        <v>1036</v>
      </c>
      <c r="J107" s="1" t="s">
        <v>1035</v>
      </c>
      <c r="K107" s="3" t="b">
        <v>1</v>
      </c>
      <c r="L107" s="1" t="s">
        <v>85</v>
      </c>
      <c r="M107" s="1" t="s">
        <v>1034</v>
      </c>
      <c r="N107" s="2" t="s">
        <v>23</v>
      </c>
      <c r="O107" s="2" t="s">
        <v>86</v>
      </c>
      <c r="Q107" s="1" t="s">
        <v>1037</v>
      </c>
      <c r="R107" s="2" t="s">
        <v>1039</v>
      </c>
      <c r="S107" s="1" t="s">
        <v>89</v>
      </c>
      <c r="T107" s="4" t="str">
        <f>IMAGE("https://drive.google.com/uc?id=1SMsbS_LD729RPrwMwN4Lb_Ua3JqsAmoS")</f>
        <v/>
      </c>
      <c r="U107" s="1" t="s">
        <v>94</v>
      </c>
      <c r="V107" s="1" t="s">
        <v>1038</v>
      </c>
      <c r="W107" s="3">
        <v>3.0</v>
      </c>
      <c r="X107" s="1" t="s">
        <v>91</v>
      </c>
      <c r="Y107" s="1" t="s">
        <v>1040</v>
      </c>
      <c r="Z107" s="1" t="s">
        <v>22</v>
      </c>
      <c r="AA107" s="1" t="s">
        <v>1042</v>
      </c>
    </row>
    <row r="108">
      <c r="A108" s="1" t="s">
        <v>1043</v>
      </c>
      <c r="B108" s="1" t="s">
        <v>21</v>
      </c>
      <c r="C108" s="1" t="s">
        <v>1044</v>
      </c>
      <c r="E108" s="2" t="s">
        <v>1051</v>
      </c>
      <c r="G108" s="1" t="s">
        <v>1439</v>
      </c>
      <c r="I108" s="1" t="s">
        <v>1046</v>
      </c>
      <c r="J108" s="1" t="s">
        <v>1045</v>
      </c>
      <c r="K108" s="3" t="b">
        <v>1</v>
      </c>
      <c r="L108" s="1" t="s">
        <v>85</v>
      </c>
      <c r="M108" s="1" t="s">
        <v>1044</v>
      </c>
      <c r="N108" s="2" t="s">
        <v>23</v>
      </c>
      <c r="O108" s="2" t="s">
        <v>86</v>
      </c>
      <c r="Q108" s="1" t="s">
        <v>1047</v>
      </c>
      <c r="R108" s="2" t="s">
        <v>1049</v>
      </c>
      <c r="S108" s="1" t="s">
        <v>89</v>
      </c>
      <c r="T108" s="4" t="str">
        <f>IMAGE("https://drive.google.com/uc?id=1JUlybPXawkvqzyfem5Cw2AlLgSQFB-Oe")</f>
        <v/>
      </c>
      <c r="U108" s="1" t="s">
        <v>94</v>
      </c>
      <c r="V108" s="1" t="s">
        <v>1048</v>
      </c>
      <c r="W108" s="3">
        <v>3.0</v>
      </c>
      <c r="X108" s="1" t="s">
        <v>91</v>
      </c>
      <c r="Y108" s="1" t="s">
        <v>1050</v>
      </c>
      <c r="Z108" s="1" t="s">
        <v>22</v>
      </c>
      <c r="AA108" s="1" t="s">
        <v>1052</v>
      </c>
    </row>
    <row r="109">
      <c r="A109" s="1" t="s">
        <v>1053</v>
      </c>
      <c r="B109" s="1" t="s">
        <v>21</v>
      </c>
      <c r="C109" s="1" t="s">
        <v>1054</v>
      </c>
      <c r="E109" s="2" t="s">
        <v>1061</v>
      </c>
      <c r="G109" s="1" t="s">
        <v>1439</v>
      </c>
      <c r="I109" s="1" t="s">
        <v>1056</v>
      </c>
      <c r="J109" s="1" t="s">
        <v>1055</v>
      </c>
      <c r="K109" s="3" t="b">
        <v>1</v>
      </c>
      <c r="L109" s="1" t="s">
        <v>85</v>
      </c>
      <c r="M109" s="1" t="s">
        <v>1054</v>
      </c>
      <c r="N109" s="2" t="s">
        <v>23</v>
      </c>
      <c r="O109" s="2" t="s">
        <v>86</v>
      </c>
      <c r="Q109" s="1" t="s">
        <v>1057</v>
      </c>
      <c r="R109" s="2" t="s">
        <v>1059</v>
      </c>
      <c r="S109" s="1" t="s">
        <v>89</v>
      </c>
      <c r="T109" s="4" t="str">
        <f>IMAGE("https://drive.google.com/uc?id=1Rd2OVDEQa-E5XMDWpcftX_yFthbOJVsb")</f>
        <v/>
      </c>
      <c r="U109" s="1" t="s">
        <v>94</v>
      </c>
      <c r="V109" s="1" t="s">
        <v>1058</v>
      </c>
      <c r="W109" s="3">
        <v>5.0</v>
      </c>
      <c r="X109" s="1" t="s">
        <v>91</v>
      </c>
      <c r="Y109" s="1" t="s">
        <v>1060</v>
      </c>
      <c r="Z109" s="1" t="s">
        <v>22</v>
      </c>
      <c r="AA109" s="1" t="s">
        <v>1062</v>
      </c>
    </row>
    <row r="110">
      <c r="A110" s="1" t="s">
        <v>1063</v>
      </c>
      <c r="B110" s="1" t="s">
        <v>21</v>
      </c>
      <c r="C110" s="1" t="s">
        <v>1064</v>
      </c>
      <c r="E110" s="2" t="s">
        <v>1071</v>
      </c>
      <c r="G110" s="1" t="s">
        <v>1439</v>
      </c>
      <c r="I110" s="1" t="s">
        <v>1066</v>
      </c>
      <c r="J110" s="1" t="s">
        <v>1065</v>
      </c>
      <c r="K110" s="3" t="b">
        <v>1</v>
      </c>
      <c r="L110" s="1" t="s">
        <v>85</v>
      </c>
      <c r="M110" s="1" t="s">
        <v>1064</v>
      </c>
      <c r="N110" s="2" t="s">
        <v>23</v>
      </c>
      <c r="O110" s="2" t="s">
        <v>86</v>
      </c>
      <c r="Q110" s="1" t="s">
        <v>1067</v>
      </c>
      <c r="R110" s="2" t="s">
        <v>1069</v>
      </c>
      <c r="S110" s="1" t="s">
        <v>89</v>
      </c>
      <c r="T110" s="4" t="str">
        <f>IMAGE("https://drive.google.com/uc?id=1pQWnx_IhVfJ0PgvGtWbXJcsJXJv-Sbdu")</f>
        <v/>
      </c>
      <c r="U110" s="1" t="s">
        <v>94</v>
      </c>
      <c r="V110" s="1" t="s">
        <v>1068</v>
      </c>
      <c r="W110" s="3">
        <v>5.0</v>
      </c>
      <c r="X110" s="1" t="s">
        <v>91</v>
      </c>
      <c r="Y110" s="1" t="s">
        <v>1070</v>
      </c>
      <c r="Z110" s="1" t="s">
        <v>22</v>
      </c>
      <c r="AA110" s="1" t="s">
        <v>1072</v>
      </c>
    </row>
    <row r="111">
      <c r="A111" s="1" t="s">
        <v>1073</v>
      </c>
      <c r="B111" s="1" t="s">
        <v>13</v>
      </c>
      <c r="C111" s="1" t="s">
        <v>1074</v>
      </c>
      <c r="E111" s="2" t="s">
        <v>1081</v>
      </c>
      <c r="G111" s="1" t="s">
        <v>1439</v>
      </c>
      <c r="I111" s="1" t="s">
        <v>1076</v>
      </c>
      <c r="J111" s="1" t="s">
        <v>1075</v>
      </c>
      <c r="K111" s="3" t="b">
        <v>1</v>
      </c>
      <c r="L111" s="1" t="s">
        <v>85</v>
      </c>
      <c r="M111" s="1" t="s">
        <v>1074</v>
      </c>
      <c r="N111" s="2" t="s">
        <v>15</v>
      </c>
      <c r="O111" s="2" t="s">
        <v>86</v>
      </c>
      <c r="Q111" s="1" t="s">
        <v>1077</v>
      </c>
      <c r="R111" s="2" t="s">
        <v>1079</v>
      </c>
      <c r="S111" s="1" t="s">
        <v>89</v>
      </c>
      <c r="T111" s="4" t="str">
        <f>IMAGE("https://drive.google.com/uc?id=1hBNktJcx9KHkAIxQWe6NCivhn6gJ4UKw")</f>
        <v/>
      </c>
      <c r="U111" s="1" t="s">
        <v>94</v>
      </c>
      <c r="V111" s="1" t="s">
        <v>1078</v>
      </c>
      <c r="W111" s="3">
        <v>2.0</v>
      </c>
      <c r="X111" s="1" t="s">
        <v>91</v>
      </c>
      <c r="Y111" s="1" t="s">
        <v>1080</v>
      </c>
      <c r="Z111" s="1" t="s">
        <v>14</v>
      </c>
      <c r="AA111" s="1" t="s">
        <v>1082</v>
      </c>
    </row>
    <row r="112">
      <c r="A112" s="1" t="s">
        <v>1083</v>
      </c>
      <c r="B112" s="1" t="s">
        <v>13</v>
      </c>
      <c r="C112" s="1" t="s">
        <v>1084</v>
      </c>
      <c r="E112" s="2" t="s">
        <v>1091</v>
      </c>
      <c r="G112" s="1" t="s">
        <v>1439</v>
      </c>
      <c r="I112" s="1" t="s">
        <v>1086</v>
      </c>
      <c r="J112" s="1" t="s">
        <v>1085</v>
      </c>
      <c r="K112" s="3" t="b">
        <v>1</v>
      </c>
      <c r="L112" s="1" t="s">
        <v>85</v>
      </c>
      <c r="M112" s="1" t="s">
        <v>1084</v>
      </c>
      <c r="N112" s="2" t="s">
        <v>15</v>
      </c>
      <c r="O112" s="2" t="s">
        <v>86</v>
      </c>
      <c r="Q112" s="1" t="s">
        <v>1087</v>
      </c>
      <c r="R112" s="2" t="s">
        <v>1089</v>
      </c>
      <c r="S112" s="1" t="s">
        <v>89</v>
      </c>
      <c r="T112" s="4" t="str">
        <f>IMAGE("https://drive.google.com/uc?id=1a7ugMlHeZdaB9tgePSDTahQwZO3gmAaH")</f>
        <v/>
      </c>
      <c r="U112" s="1" t="s">
        <v>94</v>
      </c>
      <c r="V112" s="1" t="s">
        <v>1088</v>
      </c>
      <c r="W112" s="3">
        <v>2.0</v>
      </c>
      <c r="X112" s="1" t="s">
        <v>91</v>
      </c>
      <c r="Y112" s="1" t="s">
        <v>1090</v>
      </c>
      <c r="Z112" s="1" t="s">
        <v>14</v>
      </c>
      <c r="AA112" s="1" t="s">
        <v>1092</v>
      </c>
    </row>
    <row r="113">
      <c r="A113" s="1" t="s">
        <v>1093</v>
      </c>
      <c r="B113" s="1" t="s">
        <v>13</v>
      </c>
      <c r="C113" s="1" t="s">
        <v>1094</v>
      </c>
      <c r="E113" s="2" t="s">
        <v>1101</v>
      </c>
      <c r="G113" s="1" t="s">
        <v>1439</v>
      </c>
      <c r="I113" s="1" t="s">
        <v>1096</v>
      </c>
      <c r="J113" s="1" t="s">
        <v>1095</v>
      </c>
      <c r="K113" s="3" t="b">
        <v>1</v>
      </c>
      <c r="L113" s="1" t="s">
        <v>85</v>
      </c>
      <c r="M113" s="1" t="s">
        <v>1094</v>
      </c>
      <c r="N113" s="2" t="s">
        <v>15</v>
      </c>
      <c r="O113" s="2" t="s">
        <v>86</v>
      </c>
      <c r="Q113" s="1" t="s">
        <v>1097</v>
      </c>
      <c r="R113" s="2" t="s">
        <v>1099</v>
      </c>
      <c r="S113" s="1" t="s">
        <v>89</v>
      </c>
      <c r="T113" s="4" t="str">
        <f>IMAGE("https://drive.google.com/uc?id=1kLCu4JoqWSfjtyhKzVaCfaOd8oXhoUJG")</f>
        <v/>
      </c>
      <c r="U113" s="1" t="s">
        <v>94</v>
      </c>
      <c r="V113" s="1" t="s">
        <v>1098</v>
      </c>
      <c r="W113" s="3">
        <v>2.0</v>
      </c>
      <c r="X113" s="1" t="s">
        <v>91</v>
      </c>
      <c r="Y113" s="1" t="s">
        <v>1100</v>
      </c>
      <c r="Z113" s="1" t="s">
        <v>14</v>
      </c>
      <c r="AA113" s="1" t="s">
        <v>1102</v>
      </c>
    </row>
    <row r="114">
      <c r="A114" s="1" t="s">
        <v>1103</v>
      </c>
      <c r="B114" s="1" t="s">
        <v>13</v>
      </c>
      <c r="C114" s="1" t="s">
        <v>1104</v>
      </c>
      <c r="G114" s="1" t="s">
        <v>1439</v>
      </c>
      <c r="I114" s="1" t="s">
        <v>1106</v>
      </c>
      <c r="J114" s="1" t="s">
        <v>1105</v>
      </c>
      <c r="K114" s="3" t="b">
        <v>1</v>
      </c>
      <c r="L114" s="1" t="s">
        <v>85</v>
      </c>
      <c r="M114" s="1" t="s">
        <v>1104</v>
      </c>
      <c r="N114" s="2" t="s">
        <v>15</v>
      </c>
      <c r="O114" s="2" t="s">
        <v>86</v>
      </c>
      <c r="Q114" s="1" t="s">
        <v>1487</v>
      </c>
      <c r="S114" s="1" t="s">
        <v>1421</v>
      </c>
      <c r="U114" s="1" t="s">
        <v>1477</v>
      </c>
      <c r="V114" s="1" t="s">
        <v>1488</v>
      </c>
      <c r="W114" s="3">
        <v>16.0</v>
      </c>
      <c r="X114" s="1" t="s">
        <v>1421</v>
      </c>
      <c r="Z114" s="1" t="s">
        <v>14</v>
      </c>
      <c r="AA114" s="1" t="s">
        <v>1489</v>
      </c>
    </row>
    <row r="115">
      <c r="A115" s="1" t="s">
        <v>1107</v>
      </c>
      <c r="B115" s="1" t="s">
        <v>13</v>
      </c>
      <c r="C115" s="1" t="s">
        <v>1108</v>
      </c>
      <c r="E115" s="2" t="s">
        <v>1115</v>
      </c>
      <c r="G115" s="1" t="s">
        <v>1439</v>
      </c>
      <c r="I115" s="1" t="s">
        <v>1110</v>
      </c>
      <c r="J115" s="1" t="s">
        <v>1109</v>
      </c>
      <c r="K115" s="3" t="b">
        <v>1</v>
      </c>
      <c r="L115" s="1" t="s">
        <v>85</v>
      </c>
      <c r="M115" s="1" t="s">
        <v>1108</v>
      </c>
      <c r="N115" s="2" t="s">
        <v>15</v>
      </c>
      <c r="O115" s="2" t="s">
        <v>86</v>
      </c>
      <c r="Q115" s="1" t="s">
        <v>1111</v>
      </c>
      <c r="R115" s="2" t="s">
        <v>1113</v>
      </c>
      <c r="S115" s="1" t="s">
        <v>89</v>
      </c>
      <c r="T115" s="4" t="str">
        <f>IMAGE("https://drive.google.com/uc?id=1OPZbITCsVvQvO5Nukyv4cyi1kZUd1YrK")</f>
        <v/>
      </c>
      <c r="U115" s="1" t="s">
        <v>94</v>
      </c>
      <c r="V115" s="1" t="s">
        <v>1112</v>
      </c>
      <c r="W115" s="3">
        <v>2.0</v>
      </c>
      <c r="X115" s="1" t="s">
        <v>91</v>
      </c>
      <c r="Y115" s="1" t="s">
        <v>1114</v>
      </c>
      <c r="Z115" s="1" t="s">
        <v>14</v>
      </c>
      <c r="AA115" s="1" t="s">
        <v>1116</v>
      </c>
    </row>
    <row r="116">
      <c r="A116" s="1" t="s">
        <v>1117</v>
      </c>
      <c r="B116" s="1" t="s">
        <v>13</v>
      </c>
      <c r="C116" s="1" t="s">
        <v>1118</v>
      </c>
      <c r="E116" s="2" t="s">
        <v>1125</v>
      </c>
      <c r="G116" s="1" t="s">
        <v>1439</v>
      </c>
      <c r="I116" s="1" t="s">
        <v>1120</v>
      </c>
      <c r="J116" s="1" t="s">
        <v>1119</v>
      </c>
      <c r="K116" s="3" t="b">
        <v>1</v>
      </c>
      <c r="L116" s="1" t="s">
        <v>85</v>
      </c>
      <c r="M116" s="1" t="s">
        <v>1118</v>
      </c>
      <c r="N116" s="2" t="s">
        <v>15</v>
      </c>
      <c r="O116" s="2" t="s">
        <v>86</v>
      </c>
      <c r="Q116" s="1" t="s">
        <v>1121</v>
      </c>
      <c r="R116" s="2" t="s">
        <v>1123</v>
      </c>
      <c r="S116" s="1" t="s">
        <v>89</v>
      </c>
      <c r="T116" s="4" t="str">
        <f>IMAGE("https://drive.google.com/uc?id=15GUbr9ZcqtLSxHs1NxuXsILJC4XoJNFo")</f>
        <v/>
      </c>
      <c r="U116" s="1" t="s">
        <v>94</v>
      </c>
      <c r="V116" s="1" t="s">
        <v>1122</v>
      </c>
      <c r="W116" s="3">
        <v>2.0</v>
      </c>
      <c r="X116" s="1" t="s">
        <v>91</v>
      </c>
      <c r="Y116" s="1" t="s">
        <v>1124</v>
      </c>
      <c r="Z116" s="1" t="s">
        <v>14</v>
      </c>
      <c r="AA116" s="1" t="s">
        <v>1126</v>
      </c>
    </row>
    <row r="117">
      <c r="A117" s="1" t="s">
        <v>1127</v>
      </c>
      <c r="B117" s="1" t="s">
        <v>13</v>
      </c>
      <c r="C117" s="1" t="s">
        <v>1128</v>
      </c>
      <c r="G117" s="1" t="s">
        <v>1439</v>
      </c>
      <c r="I117" s="1" t="s">
        <v>1130</v>
      </c>
      <c r="J117" s="1" t="s">
        <v>1129</v>
      </c>
      <c r="K117" s="3" t="b">
        <v>1</v>
      </c>
      <c r="L117" s="1" t="s">
        <v>85</v>
      </c>
      <c r="M117" s="1" t="s">
        <v>1128</v>
      </c>
      <c r="N117" s="2" t="s">
        <v>15</v>
      </c>
      <c r="O117" s="2" t="s">
        <v>86</v>
      </c>
      <c r="Q117" s="1" t="s">
        <v>1490</v>
      </c>
      <c r="S117" s="1" t="s">
        <v>1421</v>
      </c>
      <c r="U117" s="1" t="s">
        <v>1491</v>
      </c>
      <c r="V117" s="1" t="s">
        <v>1492</v>
      </c>
      <c r="W117" s="3">
        <v>2.0</v>
      </c>
      <c r="X117" s="1" t="s">
        <v>1421</v>
      </c>
      <c r="Z117" s="1" t="s">
        <v>14</v>
      </c>
      <c r="AA117" s="1" t="s">
        <v>1493</v>
      </c>
    </row>
    <row r="118">
      <c r="A118" s="1" t="s">
        <v>1131</v>
      </c>
      <c r="B118" s="1" t="s">
        <v>13</v>
      </c>
      <c r="C118" s="1" t="s">
        <v>1132</v>
      </c>
      <c r="E118" s="2" t="s">
        <v>1139</v>
      </c>
      <c r="G118" s="1" t="s">
        <v>1439</v>
      </c>
      <c r="I118" s="1" t="s">
        <v>1134</v>
      </c>
      <c r="J118" s="1" t="s">
        <v>1133</v>
      </c>
      <c r="K118" s="3" t="b">
        <v>1</v>
      </c>
      <c r="L118" s="1" t="s">
        <v>85</v>
      </c>
      <c r="M118" s="1" t="s">
        <v>1132</v>
      </c>
      <c r="N118" s="2" t="s">
        <v>15</v>
      </c>
      <c r="O118" s="2" t="s">
        <v>86</v>
      </c>
      <c r="Q118" s="1" t="s">
        <v>1135</v>
      </c>
      <c r="R118" s="2" t="s">
        <v>1137</v>
      </c>
      <c r="S118" s="1" t="s">
        <v>89</v>
      </c>
      <c r="T118" s="4" t="str">
        <f>IMAGE("https://drive.google.com/uc?id=1NRvjxDX2LhO3xNZ0hjI8GO1EZ7zab9e3")</f>
        <v/>
      </c>
      <c r="U118" s="1" t="s">
        <v>94</v>
      </c>
      <c r="V118" s="1" t="s">
        <v>1136</v>
      </c>
      <c r="W118" s="3">
        <v>3.0</v>
      </c>
      <c r="X118" s="1" t="s">
        <v>91</v>
      </c>
      <c r="Y118" s="1" t="s">
        <v>1138</v>
      </c>
      <c r="Z118" s="1" t="s">
        <v>14</v>
      </c>
      <c r="AA118" s="1" t="s">
        <v>1140</v>
      </c>
    </row>
    <row r="119">
      <c r="A119" s="1" t="s">
        <v>1141</v>
      </c>
      <c r="B119" s="1" t="s">
        <v>13</v>
      </c>
      <c r="C119" s="1" t="s">
        <v>1142</v>
      </c>
      <c r="E119" s="2" t="s">
        <v>1149</v>
      </c>
      <c r="G119" s="1" t="s">
        <v>1439</v>
      </c>
      <c r="I119" s="1" t="s">
        <v>1144</v>
      </c>
      <c r="J119" s="1" t="s">
        <v>1143</v>
      </c>
      <c r="K119" s="3" t="b">
        <v>1</v>
      </c>
      <c r="L119" s="1" t="s">
        <v>85</v>
      </c>
      <c r="M119" s="1" t="s">
        <v>1142</v>
      </c>
      <c r="N119" s="2" t="s">
        <v>15</v>
      </c>
      <c r="O119" s="2" t="s">
        <v>86</v>
      </c>
      <c r="Q119" s="1" t="s">
        <v>1145</v>
      </c>
      <c r="R119" s="2" t="s">
        <v>1147</v>
      </c>
      <c r="S119" s="1" t="s">
        <v>89</v>
      </c>
      <c r="T119" s="4" t="str">
        <f>IMAGE("https://drive.google.com/uc?id=1Y-Zfp8zgHghSaoO-na96xDCyEzWJCcR_")</f>
        <v/>
      </c>
      <c r="U119" s="1" t="s">
        <v>94</v>
      </c>
      <c r="V119" s="1" t="s">
        <v>1146</v>
      </c>
      <c r="W119" s="3">
        <v>2.0</v>
      </c>
      <c r="X119" s="1" t="s">
        <v>91</v>
      </c>
      <c r="Y119" s="1" t="s">
        <v>1148</v>
      </c>
      <c r="Z119" s="1" t="s">
        <v>14</v>
      </c>
      <c r="AA119" s="1" t="s">
        <v>1150</v>
      </c>
    </row>
    <row r="120">
      <c r="A120" s="1" t="s">
        <v>1151</v>
      </c>
      <c r="B120" s="1" t="s">
        <v>13</v>
      </c>
      <c r="C120" s="1" t="s">
        <v>1152</v>
      </c>
      <c r="E120" s="2" t="s">
        <v>1159</v>
      </c>
      <c r="G120" s="1" t="s">
        <v>1439</v>
      </c>
      <c r="I120" s="1" t="s">
        <v>1154</v>
      </c>
      <c r="J120" s="1" t="s">
        <v>1153</v>
      </c>
      <c r="K120" s="3" t="b">
        <v>1</v>
      </c>
      <c r="L120" s="1" t="s">
        <v>85</v>
      </c>
      <c r="M120" s="1" t="s">
        <v>1152</v>
      </c>
      <c r="N120" s="2" t="s">
        <v>15</v>
      </c>
      <c r="O120" s="2" t="s">
        <v>86</v>
      </c>
      <c r="Q120" s="1" t="s">
        <v>1155</v>
      </c>
      <c r="R120" s="2" t="s">
        <v>1157</v>
      </c>
      <c r="S120" s="1" t="s">
        <v>89</v>
      </c>
      <c r="T120" s="4" t="str">
        <f>IMAGE("https://drive.google.com/uc?id=1gNLP7v2yUiSrWnYnARt_jllLrDcJyz9R")</f>
        <v/>
      </c>
      <c r="U120" s="1" t="s">
        <v>94</v>
      </c>
      <c r="V120" s="1" t="s">
        <v>1156</v>
      </c>
      <c r="W120" s="3">
        <v>2.0</v>
      </c>
      <c r="X120" s="1" t="s">
        <v>91</v>
      </c>
      <c r="Y120" s="1" t="s">
        <v>1158</v>
      </c>
      <c r="Z120" s="1" t="s">
        <v>14</v>
      </c>
      <c r="AA120" s="1" t="s">
        <v>1160</v>
      </c>
    </row>
    <row r="121">
      <c r="A121" s="1" t="s">
        <v>1161</v>
      </c>
      <c r="B121" s="1" t="s">
        <v>13</v>
      </c>
      <c r="C121" s="1" t="s">
        <v>1162</v>
      </c>
      <c r="E121" s="2" t="s">
        <v>1169</v>
      </c>
      <c r="G121" s="1" t="s">
        <v>1439</v>
      </c>
      <c r="I121" s="1" t="s">
        <v>1164</v>
      </c>
      <c r="J121" s="1" t="s">
        <v>1163</v>
      </c>
      <c r="K121" s="3" t="b">
        <v>1</v>
      </c>
      <c r="L121" s="1" t="s">
        <v>85</v>
      </c>
      <c r="M121" s="1" t="s">
        <v>1162</v>
      </c>
      <c r="N121" s="2" t="s">
        <v>15</v>
      </c>
      <c r="O121" s="2" t="s">
        <v>86</v>
      </c>
      <c r="Q121" s="1" t="s">
        <v>1165</v>
      </c>
      <c r="R121" s="2" t="s">
        <v>1167</v>
      </c>
      <c r="S121" s="1" t="s">
        <v>89</v>
      </c>
      <c r="T121" s="4" t="str">
        <f>IMAGE("https://drive.google.com/uc?id=1hywJrtsUhuUQjmnAA90oXzg-4oiFByHJ")</f>
        <v/>
      </c>
      <c r="U121" s="1" t="s">
        <v>94</v>
      </c>
      <c r="V121" s="1" t="s">
        <v>1166</v>
      </c>
      <c r="W121" s="3">
        <v>2.0</v>
      </c>
      <c r="X121" s="1" t="s">
        <v>91</v>
      </c>
      <c r="Y121" s="1" t="s">
        <v>1168</v>
      </c>
      <c r="Z121" s="1" t="s">
        <v>14</v>
      </c>
      <c r="AA121" s="1" t="s">
        <v>1170</v>
      </c>
    </row>
    <row r="122">
      <c r="A122" s="1" t="s">
        <v>1171</v>
      </c>
      <c r="B122" s="1" t="s">
        <v>13</v>
      </c>
      <c r="C122" s="1" t="s">
        <v>1172</v>
      </c>
      <c r="E122" s="2" t="s">
        <v>1179</v>
      </c>
      <c r="G122" s="1" t="s">
        <v>1439</v>
      </c>
      <c r="I122" s="1" t="s">
        <v>1174</v>
      </c>
      <c r="J122" s="1" t="s">
        <v>1173</v>
      </c>
      <c r="K122" s="3" t="b">
        <v>1</v>
      </c>
      <c r="L122" s="1" t="s">
        <v>85</v>
      </c>
      <c r="M122" s="1" t="s">
        <v>1172</v>
      </c>
      <c r="N122" s="2" t="s">
        <v>15</v>
      </c>
      <c r="O122" s="2" t="s">
        <v>86</v>
      </c>
      <c r="Q122" s="1" t="s">
        <v>1175</v>
      </c>
      <c r="R122" s="2" t="s">
        <v>1177</v>
      </c>
      <c r="S122" s="1" t="s">
        <v>89</v>
      </c>
      <c r="T122" s="4" t="str">
        <f>IMAGE("https://drive.google.com/uc?id=1piNcrby3rajHw_--5Cz9_Ivm7xc1hk12")</f>
        <v/>
      </c>
      <c r="U122" s="1" t="s">
        <v>94</v>
      </c>
      <c r="V122" s="1" t="s">
        <v>1176</v>
      </c>
      <c r="W122" s="3">
        <v>2.0</v>
      </c>
      <c r="X122" s="1" t="s">
        <v>91</v>
      </c>
      <c r="Y122" s="1" t="s">
        <v>1178</v>
      </c>
      <c r="Z122" s="1" t="s">
        <v>14</v>
      </c>
      <c r="AA122" s="1" t="s">
        <v>1180</v>
      </c>
    </row>
    <row r="123">
      <c r="A123" s="1" t="s">
        <v>1181</v>
      </c>
      <c r="B123" s="1" t="s">
        <v>13</v>
      </c>
      <c r="C123" s="1" t="s">
        <v>1182</v>
      </c>
      <c r="E123" s="2" t="s">
        <v>1189</v>
      </c>
      <c r="G123" s="1" t="s">
        <v>1439</v>
      </c>
      <c r="I123" s="1" t="s">
        <v>1184</v>
      </c>
      <c r="J123" s="1" t="s">
        <v>1183</v>
      </c>
      <c r="K123" s="3" t="b">
        <v>1</v>
      </c>
      <c r="L123" s="1" t="s">
        <v>85</v>
      </c>
      <c r="M123" s="1" t="s">
        <v>1182</v>
      </c>
      <c r="N123" s="2" t="s">
        <v>15</v>
      </c>
      <c r="O123" s="2" t="s">
        <v>86</v>
      </c>
      <c r="Q123" s="1" t="s">
        <v>1185</v>
      </c>
      <c r="R123" s="2" t="s">
        <v>1187</v>
      </c>
      <c r="S123" s="1" t="s">
        <v>89</v>
      </c>
      <c r="T123" s="4" t="str">
        <f>IMAGE("https://drive.google.com/uc?id=1rpr9ZbgLgaduwQc0MD3YB31H3A-l5eFf")</f>
        <v/>
      </c>
      <c r="U123" s="1" t="s">
        <v>94</v>
      </c>
      <c r="V123" s="1" t="s">
        <v>1186</v>
      </c>
      <c r="W123" s="3">
        <v>2.0</v>
      </c>
      <c r="X123" s="1" t="s">
        <v>91</v>
      </c>
      <c r="Y123" s="1" t="s">
        <v>1188</v>
      </c>
      <c r="Z123" s="1" t="s">
        <v>14</v>
      </c>
      <c r="AA123" s="1" t="s">
        <v>1190</v>
      </c>
    </row>
    <row r="124">
      <c r="A124" s="1" t="s">
        <v>1191</v>
      </c>
      <c r="B124" s="1" t="s">
        <v>5</v>
      </c>
      <c r="C124" s="1" t="s">
        <v>1192</v>
      </c>
      <c r="E124" s="2" t="s">
        <v>1199</v>
      </c>
      <c r="G124" s="1" t="s">
        <v>1439</v>
      </c>
      <c r="I124" s="1" t="s">
        <v>1194</v>
      </c>
      <c r="J124" s="1" t="s">
        <v>1193</v>
      </c>
      <c r="K124" s="3" t="b">
        <v>1</v>
      </c>
      <c r="L124" s="1" t="s">
        <v>85</v>
      </c>
      <c r="M124" s="1" t="s">
        <v>1192</v>
      </c>
      <c r="N124" s="2" t="s">
        <v>7</v>
      </c>
      <c r="O124" s="2" t="s">
        <v>86</v>
      </c>
      <c r="Q124" s="1" t="s">
        <v>1195</v>
      </c>
      <c r="R124" s="2" t="s">
        <v>1197</v>
      </c>
      <c r="S124" s="1" t="s">
        <v>89</v>
      </c>
      <c r="T124" s="4" t="str">
        <f>IMAGE("https://drive.google.com/uc?id=13dFj4PT2gRoHpYus_4kOtyxy5xfZ0SC0")</f>
        <v/>
      </c>
      <c r="U124" s="1" t="s">
        <v>94</v>
      </c>
      <c r="V124" s="1" t="s">
        <v>1196</v>
      </c>
      <c r="W124" s="3">
        <v>3.0</v>
      </c>
      <c r="X124" s="1" t="s">
        <v>91</v>
      </c>
      <c r="Y124" s="1" t="s">
        <v>1198</v>
      </c>
      <c r="Z124" s="1" t="s">
        <v>6</v>
      </c>
      <c r="AA124" s="1" t="s">
        <v>1200</v>
      </c>
    </row>
    <row r="125">
      <c r="A125" s="1" t="s">
        <v>1201</v>
      </c>
      <c r="B125" s="1" t="s">
        <v>5</v>
      </c>
      <c r="C125" s="1" t="s">
        <v>1202</v>
      </c>
      <c r="E125" s="2" t="s">
        <v>1209</v>
      </c>
      <c r="G125" s="1" t="s">
        <v>1439</v>
      </c>
      <c r="I125" s="1" t="s">
        <v>1204</v>
      </c>
      <c r="J125" s="1" t="s">
        <v>1203</v>
      </c>
      <c r="K125" s="3" t="b">
        <v>1</v>
      </c>
      <c r="L125" s="1" t="s">
        <v>85</v>
      </c>
      <c r="M125" s="1" t="s">
        <v>1202</v>
      </c>
      <c r="N125" s="2" t="s">
        <v>7</v>
      </c>
      <c r="O125" s="2" t="s">
        <v>86</v>
      </c>
      <c r="Q125" s="1" t="s">
        <v>1205</v>
      </c>
      <c r="R125" s="2" t="s">
        <v>1207</v>
      </c>
      <c r="S125" s="1" t="s">
        <v>89</v>
      </c>
      <c r="T125" s="4" t="str">
        <f>IMAGE("https://drive.google.com/uc?id=1Rt2DxLZiSNh5ci9KEhxCQh_7N4-3DAfa")</f>
        <v/>
      </c>
      <c r="U125" s="1" t="s">
        <v>94</v>
      </c>
      <c r="V125" s="1" t="s">
        <v>1206</v>
      </c>
      <c r="W125" s="3">
        <v>4.0</v>
      </c>
      <c r="X125" s="1" t="s">
        <v>91</v>
      </c>
      <c r="Y125" s="1" t="s">
        <v>1208</v>
      </c>
      <c r="Z125" s="1" t="s">
        <v>6</v>
      </c>
      <c r="AA125" s="1" t="s">
        <v>1210</v>
      </c>
    </row>
    <row r="126">
      <c r="A126" s="1" t="s">
        <v>1211</v>
      </c>
      <c r="B126" s="1" t="s">
        <v>5</v>
      </c>
      <c r="C126" s="1" t="s">
        <v>1212</v>
      </c>
      <c r="E126" s="2" t="s">
        <v>1219</v>
      </c>
      <c r="G126" s="1" t="s">
        <v>1439</v>
      </c>
      <c r="I126" s="1" t="s">
        <v>1214</v>
      </c>
      <c r="J126" s="1" t="s">
        <v>1213</v>
      </c>
      <c r="K126" s="3" t="b">
        <v>1</v>
      </c>
      <c r="L126" s="1" t="s">
        <v>85</v>
      </c>
      <c r="M126" s="1" t="s">
        <v>1212</v>
      </c>
      <c r="N126" s="2" t="s">
        <v>7</v>
      </c>
      <c r="O126" s="2" t="s">
        <v>86</v>
      </c>
      <c r="Q126" s="1" t="s">
        <v>1215</v>
      </c>
      <c r="R126" s="2" t="s">
        <v>1217</v>
      </c>
      <c r="S126" s="1" t="s">
        <v>89</v>
      </c>
      <c r="T126" s="4" t="str">
        <f>IMAGE("https://drive.google.com/uc?id=1qVVm7k4tAajrqOwKe31BSyh8tKVv__eC")</f>
        <v/>
      </c>
      <c r="U126" s="1" t="s">
        <v>94</v>
      </c>
      <c r="V126" s="1" t="s">
        <v>1216</v>
      </c>
      <c r="W126" s="3">
        <v>3.0</v>
      </c>
      <c r="X126" s="1" t="s">
        <v>91</v>
      </c>
      <c r="Y126" s="1" t="s">
        <v>1218</v>
      </c>
      <c r="Z126" s="1" t="s">
        <v>6</v>
      </c>
      <c r="AA126" s="1" t="s">
        <v>1220</v>
      </c>
    </row>
    <row r="127">
      <c r="A127" s="1" t="s">
        <v>1221</v>
      </c>
      <c r="B127" s="1" t="s">
        <v>5</v>
      </c>
      <c r="C127" s="1" t="s">
        <v>1222</v>
      </c>
      <c r="E127" s="2" t="s">
        <v>1229</v>
      </c>
      <c r="G127" s="1" t="s">
        <v>1439</v>
      </c>
      <c r="I127" s="1" t="s">
        <v>1224</v>
      </c>
      <c r="J127" s="1" t="s">
        <v>1223</v>
      </c>
      <c r="K127" s="3" t="b">
        <v>1</v>
      </c>
      <c r="L127" s="1" t="s">
        <v>85</v>
      </c>
      <c r="M127" s="1" t="s">
        <v>1222</v>
      </c>
      <c r="N127" s="2" t="s">
        <v>7</v>
      </c>
      <c r="O127" s="2" t="s">
        <v>86</v>
      </c>
      <c r="Q127" s="1" t="s">
        <v>1225</v>
      </c>
      <c r="R127" s="2" t="s">
        <v>1227</v>
      </c>
      <c r="S127" s="1" t="s">
        <v>89</v>
      </c>
      <c r="T127" s="4" t="str">
        <f>IMAGE("https://drive.google.com/uc?id=1HGXQScckhfxJIdjdFQJhTMM3GxxtdfU9")</f>
        <v/>
      </c>
      <c r="U127" s="1" t="s">
        <v>94</v>
      </c>
      <c r="V127" s="1" t="s">
        <v>1226</v>
      </c>
      <c r="W127" s="3">
        <v>4.0</v>
      </c>
      <c r="X127" s="1" t="s">
        <v>91</v>
      </c>
      <c r="Y127" s="1" t="s">
        <v>1228</v>
      </c>
      <c r="Z127" s="1" t="s">
        <v>6</v>
      </c>
      <c r="AA127" s="1" t="s">
        <v>1230</v>
      </c>
    </row>
    <row r="128">
      <c r="A128" s="1" t="s">
        <v>1231</v>
      </c>
      <c r="B128" s="1" t="s">
        <v>5</v>
      </c>
      <c r="C128" s="1" t="s">
        <v>1232</v>
      </c>
      <c r="E128" s="2" t="s">
        <v>1239</v>
      </c>
      <c r="G128" s="1" t="s">
        <v>1439</v>
      </c>
      <c r="I128" s="1" t="s">
        <v>1234</v>
      </c>
      <c r="J128" s="1" t="s">
        <v>1233</v>
      </c>
      <c r="K128" s="3" t="b">
        <v>1</v>
      </c>
      <c r="L128" s="1" t="s">
        <v>85</v>
      </c>
      <c r="M128" s="1" t="s">
        <v>1232</v>
      </c>
      <c r="N128" s="2" t="s">
        <v>7</v>
      </c>
      <c r="O128" s="2" t="s">
        <v>86</v>
      </c>
      <c r="Q128" s="1" t="s">
        <v>1235</v>
      </c>
      <c r="R128" s="2" t="s">
        <v>1237</v>
      </c>
      <c r="S128" s="1" t="s">
        <v>89</v>
      </c>
      <c r="T128" s="4" t="str">
        <f>IMAGE("https://drive.google.com/uc?id=11uR4-giua9lyqE6fMVoVoses-m7LLSsH")</f>
        <v/>
      </c>
      <c r="U128" s="1" t="s">
        <v>94</v>
      </c>
      <c r="V128" s="1" t="s">
        <v>1236</v>
      </c>
      <c r="W128" s="3">
        <v>4.0</v>
      </c>
      <c r="X128" s="1" t="s">
        <v>91</v>
      </c>
      <c r="Y128" s="1" t="s">
        <v>1238</v>
      </c>
      <c r="Z128" s="1" t="s">
        <v>6</v>
      </c>
      <c r="AA128" s="1" t="s">
        <v>1240</v>
      </c>
    </row>
    <row r="129">
      <c r="A129" s="1" t="s">
        <v>1241</v>
      </c>
      <c r="B129" s="1" t="s">
        <v>5</v>
      </c>
      <c r="C129" s="1" t="s">
        <v>1242</v>
      </c>
      <c r="E129" s="2" t="s">
        <v>1249</v>
      </c>
      <c r="G129" s="1" t="s">
        <v>1439</v>
      </c>
      <c r="I129" s="1" t="s">
        <v>1244</v>
      </c>
      <c r="J129" s="1" t="s">
        <v>1243</v>
      </c>
      <c r="K129" s="3" t="b">
        <v>1</v>
      </c>
      <c r="L129" s="1" t="s">
        <v>85</v>
      </c>
      <c r="M129" s="1" t="s">
        <v>1242</v>
      </c>
      <c r="N129" s="2" t="s">
        <v>7</v>
      </c>
      <c r="O129" s="2" t="s">
        <v>86</v>
      </c>
      <c r="Q129" s="1" t="s">
        <v>1245</v>
      </c>
      <c r="R129" s="2" t="s">
        <v>1247</v>
      </c>
      <c r="S129" s="1" t="s">
        <v>89</v>
      </c>
      <c r="T129" s="4" t="str">
        <f>IMAGE("https://drive.google.com/uc?id=1_aqXtuUo8nDPKzaFAt7sTQPjQ0S-U3E4")</f>
        <v/>
      </c>
      <c r="U129" s="1" t="s">
        <v>94</v>
      </c>
      <c r="V129" s="1" t="s">
        <v>1246</v>
      </c>
      <c r="W129" s="3">
        <v>2.0</v>
      </c>
      <c r="X129" s="1" t="s">
        <v>91</v>
      </c>
      <c r="Y129" s="1" t="s">
        <v>1248</v>
      </c>
      <c r="Z129" s="1" t="s">
        <v>6</v>
      </c>
      <c r="AA129" s="1" t="s">
        <v>1250</v>
      </c>
    </row>
    <row r="130">
      <c r="A130" s="1" t="s">
        <v>1251</v>
      </c>
      <c r="B130" s="1" t="s">
        <v>5</v>
      </c>
      <c r="C130" s="1" t="s">
        <v>1252</v>
      </c>
      <c r="E130" s="2" t="s">
        <v>1259</v>
      </c>
      <c r="G130" s="1" t="s">
        <v>1439</v>
      </c>
      <c r="I130" s="1" t="s">
        <v>1254</v>
      </c>
      <c r="J130" s="1" t="s">
        <v>1253</v>
      </c>
      <c r="K130" s="3" t="b">
        <v>1</v>
      </c>
      <c r="L130" s="1" t="s">
        <v>85</v>
      </c>
      <c r="M130" s="1" t="s">
        <v>1252</v>
      </c>
      <c r="N130" s="2" t="s">
        <v>7</v>
      </c>
      <c r="O130" s="2" t="s">
        <v>86</v>
      </c>
      <c r="Q130" s="1" t="s">
        <v>1255</v>
      </c>
      <c r="R130" s="2" t="s">
        <v>1257</v>
      </c>
      <c r="S130" s="1" t="s">
        <v>89</v>
      </c>
      <c r="T130" s="4" t="str">
        <f>IMAGE("https://drive.google.com/uc?id=1ouMFxnQKWbyLQRuhrF7dLwGN7d4sssNv")</f>
        <v/>
      </c>
      <c r="U130" s="1" t="s">
        <v>94</v>
      </c>
      <c r="V130" s="1" t="s">
        <v>1256</v>
      </c>
      <c r="W130" s="3">
        <v>3.0</v>
      </c>
      <c r="X130" s="1" t="s">
        <v>91</v>
      </c>
      <c r="Y130" s="1" t="s">
        <v>1258</v>
      </c>
      <c r="Z130" s="1" t="s">
        <v>6</v>
      </c>
      <c r="AA130" s="1" t="s">
        <v>1260</v>
      </c>
    </row>
  </sheetData>
  <hyperlinks>
    <hyperlink r:id="rId1" ref="N2"/>
    <hyperlink r:id="rId2" ref="O2"/>
    <hyperlink r:id="rId3" ref="P2"/>
    <hyperlink r:id="rId4" ref="N3"/>
    <hyperlink r:id="rId5" ref="O3"/>
    <hyperlink r:id="rId6" ref="N4"/>
    <hyperlink r:id="rId7" ref="O4"/>
    <hyperlink r:id="rId8" ref="E5"/>
    <hyperlink r:id="rId9" ref="N5"/>
    <hyperlink r:id="rId10" ref="O5"/>
    <hyperlink r:id="rId11" ref="R5"/>
    <hyperlink r:id="rId12" ref="E6"/>
    <hyperlink r:id="rId13" ref="N6"/>
    <hyperlink r:id="rId14" ref="O6"/>
    <hyperlink r:id="rId15" ref="R6"/>
    <hyperlink r:id="rId16" ref="E7"/>
    <hyperlink r:id="rId17" ref="N7"/>
    <hyperlink r:id="rId18" ref="O7"/>
    <hyperlink r:id="rId19" ref="R7"/>
    <hyperlink r:id="rId20" ref="E8"/>
    <hyperlink r:id="rId21" ref="N8"/>
    <hyperlink r:id="rId22" ref="O8"/>
    <hyperlink r:id="rId23" ref="R8"/>
    <hyperlink r:id="rId24" ref="E9"/>
    <hyperlink r:id="rId25" ref="N9"/>
    <hyperlink r:id="rId26" ref="O9"/>
    <hyperlink r:id="rId27" ref="R9"/>
    <hyperlink r:id="rId28" ref="E10"/>
    <hyperlink r:id="rId29" ref="N10"/>
    <hyperlink r:id="rId30" ref="O10"/>
    <hyperlink r:id="rId31" ref="R10"/>
    <hyperlink r:id="rId32" ref="E11"/>
    <hyperlink r:id="rId33" ref="N11"/>
    <hyperlink r:id="rId34" ref="O11"/>
    <hyperlink r:id="rId35" ref="R11"/>
    <hyperlink r:id="rId36" ref="E12"/>
    <hyperlink r:id="rId37" ref="N12"/>
    <hyperlink r:id="rId38" ref="O12"/>
    <hyperlink r:id="rId39" ref="R12"/>
    <hyperlink r:id="rId40" ref="E13"/>
    <hyperlink r:id="rId41" ref="N13"/>
    <hyperlink r:id="rId42" ref="O13"/>
    <hyperlink r:id="rId43" ref="R13"/>
    <hyperlink r:id="rId44" ref="E14"/>
    <hyperlink r:id="rId45" ref="N14"/>
    <hyperlink r:id="rId46" ref="O14"/>
    <hyperlink r:id="rId47" ref="R14"/>
    <hyperlink r:id="rId48" ref="E15"/>
    <hyperlink r:id="rId49" ref="N15"/>
    <hyperlink r:id="rId50" ref="O15"/>
    <hyperlink r:id="rId51" ref="R15"/>
    <hyperlink r:id="rId52" ref="E16"/>
    <hyperlink r:id="rId53" ref="N16"/>
    <hyperlink r:id="rId54" ref="O16"/>
    <hyperlink r:id="rId55" ref="R16"/>
    <hyperlink r:id="rId56" ref="E17"/>
    <hyperlink r:id="rId57" ref="N17"/>
    <hyperlink r:id="rId58" ref="O17"/>
    <hyperlink r:id="rId59" ref="R17"/>
    <hyperlink r:id="rId60" ref="E18"/>
    <hyperlink r:id="rId61" ref="N18"/>
    <hyperlink r:id="rId62" ref="O18"/>
    <hyperlink r:id="rId63" ref="R18"/>
    <hyperlink r:id="rId64" ref="E19"/>
    <hyperlink r:id="rId65" ref="N19"/>
    <hyperlink r:id="rId66" ref="O19"/>
    <hyperlink r:id="rId67" ref="R19"/>
    <hyperlink r:id="rId68" ref="E20"/>
    <hyperlink r:id="rId69" ref="N20"/>
    <hyperlink r:id="rId70" ref="O20"/>
    <hyperlink r:id="rId71" ref="R20"/>
    <hyperlink r:id="rId72" ref="E21"/>
    <hyperlink r:id="rId73" ref="N21"/>
    <hyperlink r:id="rId74" ref="O21"/>
    <hyperlink r:id="rId75" ref="R21"/>
    <hyperlink r:id="rId76" ref="E22"/>
    <hyperlink r:id="rId77" ref="N22"/>
    <hyperlink r:id="rId78" ref="O22"/>
    <hyperlink r:id="rId79" ref="R22"/>
    <hyperlink r:id="rId80" ref="E23"/>
    <hyperlink r:id="rId81" ref="N23"/>
    <hyperlink r:id="rId82" ref="O23"/>
    <hyperlink r:id="rId83" ref="R23"/>
    <hyperlink r:id="rId84" ref="E24"/>
    <hyperlink r:id="rId85" ref="N24"/>
    <hyperlink r:id="rId86" ref="O24"/>
    <hyperlink r:id="rId87" ref="R24"/>
    <hyperlink r:id="rId88" ref="E25"/>
    <hyperlink r:id="rId89" ref="N25"/>
    <hyperlink r:id="rId90" ref="O25"/>
    <hyperlink r:id="rId91" ref="R25"/>
    <hyperlink r:id="rId92" ref="E26"/>
    <hyperlink r:id="rId93" ref="N26"/>
    <hyperlink r:id="rId94" ref="O26"/>
    <hyperlink r:id="rId95" ref="R26"/>
    <hyperlink r:id="rId96" ref="E27"/>
    <hyperlink r:id="rId97" ref="N27"/>
    <hyperlink r:id="rId98" ref="O27"/>
    <hyperlink r:id="rId99" ref="R27"/>
    <hyperlink r:id="rId100" ref="E28"/>
    <hyperlink r:id="rId101" ref="N28"/>
    <hyperlink r:id="rId102" ref="O28"/>
    <hyperlink r:id="rId103" ref="R28"/>
    <hyperlink r:id="rId104" ref="E29"/>
    <hyperlink r:id="rId105" ref="N29"/>
    <hyperlink r:id="rId106" ref="O29"/>
    <hyperlink r:id="rId107" ref="R29"/>
    <hyperlink r:id="rId108" ref="E30"/>
    <hyperlink r:id="rId109" ref="N30"/>
    <hyperlink r:id="rId110" ref="O30"/>
    <hyperlink r:id="rId111" ref="R30"/>
    <hyperlink r:id="rId112" ref="N31"/>
    <hyperlink r:id="rId113" ref="O31"/>
    <hyperlink r:id="rId114" ref="E32"/>
    <hyperlink r:id="rId115" ref="N32"/>
    <hyperlink r:id="rId116" ref="O32"/>
    <hyperlink r:id="rId117" ref="R32"/>
    <hyperlink r:id="rId118" ref="E33"/>
    <hyperlink r:id="rId119" ref="N33"/>
    <hyperlink r:id="rId120" ref="O33"/>
    <hyperlink r:id="rId121" ref="R33"/>
    <hyperlink r:id="rId122" ref="E34"/>
    <hyperlink r:id="rId123" ref="N34"/>
    <hyperlink r:id="rId124" ref="O34"/>
    <hyperlink r:id="rId125" ref="R34"/>
    <hyperlink r:id="rId126" ref="E35"/>
    <hyperlink r:id="rId127" ref="N35"/>
    <hyperlink r:id="rId128" ref="O35"/>
    <hyperlink r:id="rId129" ref="R35"/>
    <hyperlink r:id="rId130" ref="E36"/>
    <hyperlink r:id="rId131" ref="N36"/>
    <hyperlink r:id="rId132" ref="O36"/>
    <hyperlink r:id="rId133" ref="R36"/>
    <hyperlink r:id="rId134" ref="E37"/>
    <hyperlink r:id="rId135" ref="N37"/>
    <hyperlink r:id="rId136" ref="O37"/>
    <hyperlink r:id="rId137" ref="R37"/>
    <hyperlink r:id="rId138" ref="E38"/>
    <hyperlink r:id="rId139" ref="N38"/>
    <hyperlink r:id="rId140" ref="O38"/>
    <hyperlink r:id="rId141" ref="R38"/>
    <hyperlink r:id="rId142" ref="E39"/>
    <hyperlink r:id="rId143" ref="N39"/>
    <hyperlink r:id="rId144" ref="O39"/>
    <hyperlink r:id="rId145" ref="R39"/>
    <hyperlink r:id="rId146" ref="E40"/>
    <hyperlink r:id="rId147" ref="N40"/>
    <hyperlink r:id="rId148" ref="O40"/>
    <hyperlink r:id="rId149" ref="R40"/>
    <hyperlink r:id="rId150" ref="E41"/>
    <hyperlink r:id="rId151" ref="N41"/>
    <hyperlink r:id="rId152" ref="O41"/>
    <hyperlink r:id="rId153" ref="R41"/>
    <hyperlink r:id="rId154" ref="N42"/>
    <hyperlink r:id="rId155" ref="O42"/>
    <hyperlink r:id="rId156" ref="E43"/>
    <hyperlink r:id="rId157" ref="N43"/>
    <hyperlink r:id="rId158" ref="O43"/>
    <hyperlink r:id="rId159" ref="R43"/>
    <hyperlink r:id="rId160" ref="E44"/>
    <hyperlink r:id="rId161" ref="N44"/>
    <hyperlink r:id="rId162" ref="O44"/>
    <hyperlink r:id="rId163" ref="R44"/>
    <hyperlink r:id="rId164" ref="E45"/>
    <hyperlink r:id="rId165" ref="N45"/>
    <hyperlink r:id="rId166" ref="O45"/>
    <hyperlink r:id="rId167" ref="R45"/>
    <hyperlink r:id="rId168" ref="E46"/>
    <hyperlink r:id="rId169" ref="N46"/>
    <hyperlink r:id="rId170" ref="O46"/>
    <hyperlink r:id="rId171" ref="R46"/>
    <hyperlink r:id="rId172" ref="E47"/>
    <hyperlink r:id="rId173" ref="N47"/>
    <hyperlink r:id="rId174" ref="O47"/>
    <hyperlink r:id="rId175" ref="R47"/>
    <hyperlink r:id="rId176" ref="E48"/>
    <hyperlink r:id="rId177" ref="N48"/>
    <hyperlink r:id="rId178" ref="O48"/>
    <hyperlink r:id="rId179" ref="R48"/>
    <hyperlink r:id="rId180" ref="E49"/>
    <hyperlink r:id="rId181" ref="N49"/>
    <hyperlink r:id="rId182" ref="O49"/>
    <hyperlink r:id="rId183" ref="R49"/>
    <hyperlink r:id="rId184" ref="E50"/>
    <hyperlink r:id="rId185" ref="N50"/>
    <hyperlink r:id="rId186" ref="O50"/>
    <hyperlink r:id="rId187" ref="R50"/>
    <hyperlink r:id="rId188" ref="N51"/>
    <hyperlink r:id="rId189" ref="O51"/>
    <hyperlink r:id="rId190" ref="E52"/>
    <hyperlink r:id="rId191" ref="N52"/>
    <hyperlink r:id="rId192" ref="O52"/>
    <hyperlink r:id="rId193" ref="R52"/>
    <hyperlink r:id="rId194" ref="E53"/>
    <hyperlink r:id="rId195" ref="N53"/>
    <hyperlink r:id="rId196" ref="O53"/>
    <hyperlink r:id="rId197" ref="R53"/>
    <hyperlink r:id="rId198" ref="E54"/>
    <hyperlink r:id="rId199" ref="N54"/>
    <hyperlink r:id="rId200" ref="O54"/>
    <hyperlink r:id="rId201" ref="R54"/>
    <hyperlink r:id="rId202" ref="E55"/>
    <hyperlink r:id="rId203" ref="N55"/>
    <hyperlink r:id="rId204" ref="O55"/>
    <hyperlink r:id="rId205" ref="R55"/>
    <hyperlink r:id="rId206" ref="E56"/>
    <hyperlink r:id="rId207" ref="N56"/>
    <hyperlink r:id="rId208" ref="O56"/>
    <hyperlink r:id="rId209" ref="R56"/>
    <hyperlink r:id="rId210" ref="E57"/>
    <hyperlink r:id="rId211" ref="N57"/>
    <hyperlink r:id="rId212" ref="O57"/>
    <hyperlink r:id="rId213" ref="R57"/>
    <hyperlink r:id="rId214" ref="E58"/>
    <hyperlink r:id="rId215" ref="N58"/>
    <hyperlink r:id="rId216" ref="O58"/>
    <hyperlink r:id="rId217" ref="R58"/>
    <hyperlink r:id="rId218" ref="E59"/>
    <hyperlink r:id="rId219" ref="N59"/>
    <hyperlink r:id="rId220" ref="O59"/>
    <hyperlink r:id="rId221" ref="R59"/>
    <hyperlink r:id="rId222" ref="E60"/>
    <hyperlink r:id="rId223" ref="N60"/>
    <hyperlink r:id="rId224" ref="O60"/>
    <hyperlink r:id="rId225" ref="R60"/>
    <hyperlink r:id="rId226" ref="E61"/>
    <hyperlink r:id="rId227" ref="N61"/>
    <hyperlink r:id="rId228" ref="O61"/>
    <hyperlink r:id="rId229" ref="R61"/>
    <hyperlink r:id="rId230" ref="E62"/>
    <hyperlink r:id="rId231" ref="N62"/>
    <hyperlink r:id="rId232" ref="O62"/>
    <hyperlink r:id="rId233" ref="R62"/>
    <hyperlink r:id="rId234" ref="E63"/>
    <hyperlink r:id="rId235" ref="N63"/>
    <hyperlink r:id="rId236" ref="O63"/>
    <hyperlink r:id="rId237" ref="R63"/>
    <hyperlink r:id="rId238" ref="E64"/>
    <hyperlink r:id="rId239" ref="N64"/>
    <hyperlink r:id="rId240" ref="O64"/>
    <hyperlink r:id="rId241" ref="R64"/>
    <hyperlink r:id="rId242" ref="E65"/>
    <hyperlink r:id="rId243" ref="N65"/>
    <hyperlink r:id="rId244" ref="O65"/>
    <hyperlink r:id="rId245" ref="R65"/>
    <hyperlink r:id="rId246" ref="E66"/>
    <hyperlink r:id="rId247" ref="N66"/>
    <hyperlink r:id="rId248" ref="O66"/>
    <hyperlink r:id="rId249" ref="R66"/>
    <hyperlink r:id="rId250" ref="E67"/>
    <hyperlink r:id="rId251" ref="N67"/>
    <hyperlink r:id="rId252" ref="O67"/>
    <hyperlink r:id="rId253" ref="R67"/>
    <hyperlink r:id="rId254" ref="E68"/>
    <hyperlink r:id="rId255" ref="N68"/>
    <hyperlink r:id="rId256" ref="O68"/>
    <hyperlink r:id="rId257" ref="R68"/>
    <hyperlink r:id="rId258" ref="E69"/>
    <hyperlink r:id="rId259" ref="N69"/>
    <hyperlink r:id="rId260" ref="O69"/>
    <hyperlink r:id="rId261" ref="R69"/>
    <hyperlink r:id="rId262" ref="E70"/>
    <hyperlink r:id="rId263" ref="N70"/>
    <hyperlink r:id="rId264" ref="O70"/>
    <hyperlink r:id="rId265" ref="R70"/>
    <hyperlink r:id="rId266" ref="N71"/>
    <hyperlink r:id="rId267" ref="O71"/>
    <hyperlink r:id="rId268" ref="E72"/>
    <hyperlink r:id="rId269" ref="N72"/>
    <hyperlink r:id="rId270" ref="O72"/>
    <hyperlink r:id="rId271" ref="R72"/>
    <hyperlink r:id="rId272" ref="E73"/>
    <hyperlink r:id="rId273" ref="N73"/>
    <hyperlink r:id="rId274" ref="O73"/>
    <hyperlink r:id="rId275" ref="R73"/>
    <hyperlink r:id="rId276" ref="E74"/>
    <hyperlink r:id="rId277" ref="N74"/>
    <hyperlink r:id="rId278" ref="O74"/>
    <hyperlink r:id="rId279" ref="R74"/>
    <hyperlink r:id="rId280" ref="E75"/>
    <hyperlink r:id="rId281" ref="N75"/>
    <hyperlink r:id="rId282" ref="O75"/>
    <hyperlink r:id="rId283" ref="R75"/>
    <hyperlink r:id="rId284" ref="E76"/>
    <hyperlink r:id="rId285" ref="N76"/>
    <hyperlink r:id="rId286" ref="O76"/>
    <hyperlink r:id="rId287" ref="R76"/>
    <hyperlink r:id="rId288" ref="E77"/>
    <hyperlink r:id="rId289" ref="N77"/>
    <hyperlink r:id="rId290" ref="O77"/>
    <hyperlink r:id="rId291" ref="R77"/>
    <hyperlink r:id="rId292" ref="E78"/>
    <hyperlink r:id="rId293" ref="N78"/>
    <hyperlink r:id="rId294" ref="O78"/>
    <hyperlink r:id="rId295" ref="R78"/>
    <hyperlink r:id="rId296" ref="E79"/>
    <hyperlink r:id="rId297" ref="N79"/>
    <hyperlink r:id="rId298" ref="O79"/>
    <hyperlink r:id="rId299" ref="R79"/>
    <hyperlink r:id="rId300" ref="E80"/>
    <hyperlink r:id="rId301" ref="N80"/>
    <hyperlink r:id="rId302" ref="O80"/>
    <hyperlink r:id="rId303" ref="R80"/>
    <hyperlink r:id="rId304" ref="N81"/>
    <hyperlink r:id="rId305" ref="O81"/>
    <hyperlink r:id="rId306" ref="E82"/>
    <hyperlink r:id="rId307" ref="N82"/>
    <hyperlink r:id="rId308" ref="O82"/>
    <hyperlink r:id="rId309" ref="R82"/>
    <hyperlink r:id="rId310" ref="E83"/>
    <hyperlink r:id="rId311" ref="N83"/>
    <hyperlink r:id="rId312" ref="O83"/>
    <hyperlink r:id="rId313" ref="R83"/>
    <hyperlink r:id="rId314" ref="E84"/>
    <hyperlink r:id="rId315" ref="N84"/>
    <hyperlink r:id="rId316" ref="O84"/>
    <hyperlink r:id="rId317" ref="R84"/>
    <hyperlink r:id="rId318" ref="E85"/>
    <hyperlink r:id="rId319" ref="N85"/>
    <hyperlink r:id="rId320" ref="O85"/>
    <hyperlink r:id="rId321" ref="R85"/>
    <hyperlink r:id="rId322" ref="N86"/>
    <hyperlink r:id="rId323" ref="O86"/>
    <hyperlink r:id="rId324" ref="E87"/>
    <hyperlink r:id="rId325" ref="N87"/>
    <hyperlink r:id="rId326" ref="O87"/>
    <hyperlink r:id="rId327" ref="R87"/>
    <hyperlink r:id="rId328" ref="E88"/>
    <hyperlink r:id="rId329" ref="N88"/>
    <hyperlink r:id="rId330" ref="O88"/>
    <hyperlink r:id="rId331" ref="R88"/>
    <hyperlink r:id="rId332" ref="E89"/>
    <hyperlink r:id="rId333" ref="N89"/>
    <hyperlink r:id="rId334" ref="O89"/>
    <hyperlink r:id="rId335" ref="R89"/>
    <hyperlink r:id="rId336" ref="N90"/>
    <hyperlink r:id="rId337" ref="O90"/>
    <hyperlink r:id="rId338" ref="E91"/>
    <hyperlink r:id="rId339" ref="N91"/>
    <hyperlink r:id="rId340" ref="O91"/>
    <hyperlink r:id="rId341" ref="R91"/>
    <hyperlink r:id="rId342" ref="E92"/>
    <hyperlink r:id="rId343" ref="N92"/>
    <hyperlink r:id="rId344" ref="O92"/>
    <hyperlink r:id="rId345" ref="R92"/>
    <hyperlink r:id="rId346" ref="E93"/>
    <hyperlink r:id="rId347" ref="N93"/>
    <hyperlink r:id="rId348" ref="O93"/>
    <hyperlink r:id="rId349" ref="R93"/>
    <hyperlink r:id="rId350" ref="N94"/>
    <hyperlink r:id="rId351" ref="O94"/>
    <hyperlink r:id="rId352" ref="E95"/>
    <hyperlink r:id="rId353" ref="N95"/>
    <hyperlink r:id="rId354" ref="O95"/>
    <hyperlink r:id="rId355" ref="R95"/>
    <hyperlink r:id="rId356" ref="E96"/>
    <hyperlink r:id="rId357" ref="N96"/>
    <hyperlink r:id="rId358" ref="O96"/>
    <hyperlink r:id="rId359" ref="R96"/>
    <hyperlink r:id="rId360" ref="E97"/>
    <hyperlink r:id="rId361" ref="N97"/>
    <hyperlink r:id="rId362" ref="O97"/>
    <hyperlink r:id="rId363" ref="R97"/>
    <hyperlink r:id="rId364" ref="E98"/>
    <hyperlink r:id="rId365" ref="N98"/>
    <hyperlink r:id="rId366" ref="O98"/>
    <hyperlink r:id="rId367" ref="R98"/>
    <hyperlink r:id="rId368" ref="E99"/>
    <hyperlink r:id="rId369" ref="N99"/>
    <hyperlink r:id="rId370" ref="O99"/>
    <hyperlink r:id="rId371" ref="R99"/>
    <hyperlink r:id="rId372" ref="E100"/>
    <hyperlink r:id="rId373" ref="N100"/>
    <hyperlink r:id="rId374" ref="O100"/>
    <hyperlink r:id="rId375" ref="R100"/>
    <hyperlink r:id="rId376" ref="E101"/>
    <hyperlink r:id="rId377" ref="N101"/>
    <hyperlink r:id="rId378" ref="O101"/>
    <hyperlink r:id="rId379" ref="R101"/>
    <hyperlink r:id="rId380" ref="E102"/>
    <hyperlink r:id="rId381" ref="N102"/>
    <hyperlink r:id="rId382" ref="O102"/>
    <hyperlink r:id="rId383" ref="R102"/>
    <hyperlink r:id="rId384" ref="E103"/>
    <hyperlink r:id="rId385" ref="N103"/>
    <hyperlink r:id="rId386" ref="O103"/>
    <hyperlink r:id="rId387" ref="R103"/>
    <hyperlink r:id="rId388" ref="E104"/>
    <hyperlink r:id="rId389" ref="N104"/>
    <hyperlink r:id="rId390" ref="O104"/>
    <hyperlink r:id="rId391" ref="R104"/>
    <hyperlink r:id="rId392" ref="E105"/>
    <hyperlink r:id="rId393" ref="N105"/>
    <hyperlink r:id="rId394" ref="O105"/>
    <hyperlink r:id="rId395" ref="R105"/>
    <hyperlink r:id="rId396" ref="E106"/>
    <hyperlink r:id="rId397" ref="N106"/>
    <hyperlink r:id="rId398" ref="O106"/>
    <hyperlink r:id="rId399" ref="R106"/>
    <hyperlink r:id="rId400" ref="E107"/>
    <hyperlink r:id="rId401" ref="N107"/>
    <hyperlink r:id="rId402" ref="O107"/>
    <hyperlink r:id="rId403" ref="R107"/>
    <hyperlink r:id="rId404" ref="E108"/>
    <hyperlink r:id="rId405" ref="N108"/>
    <hyperlink r:id="rId406" ref="O108"/>
    <hyperlink r:id="rId407" ref="R108"/>
    <hyperlink r:id="rId408" ref="E109"/>
    <hyperlink r:id="rId409" ref="N109"/>
    <hyperlink r:id="rId410" ref="O109"/>
    <hyperlink r:id="rId411" ref="R109"/>
    <hyperlink r:id="rId412" ref="E110"/>
    <hyperlink r:id="rId413" ref="N110"/>
    <hyperlink r:id="rId414" ref="O110"/>
    <hyperlink r:id="rId415" ref="R110"/>
    <hyperlink r:id="rId416" ref="E111"/>
    <hyperlink r:id="rId417" ref="N111"/>
    <hyperlink r:id="rId418" ref="O111"/>
    <hyperlink r:id="rId419" ref="R111"/>
    <hyperlink r:id="rId420" ref="E112"/>
    <hyperlink r:id="rId421" ref="N112"/>
    <hyperlink r:id="rId422" ref="O112"/>
    <hyperlink r:id="rId423" ref="R112"/>
    <hyperlink r:id="rId424" ref="E113"/>
    <hyperlink r:id="rId425" ref="N113"/>
    <hyperlink r:id="rId426" ref="O113"/>
    <hyperlink r:id="rId427" ref="R113"/>
    <hyperlink r:id="rId428" ref="N114"/>
    <hyperlink r:id="rId429" ref="O114"/>
    <hyperlink r:id="rId430" ref="E115"/>
    <hyperlink r:id="rId431" ref="N115"/>
    <hyperlink r:id="rId432" ref="O115"/>
    <hyperlink r:id="rId433" ref="R115"/>
    <hyperlink r:id="rId434" ref="E116"/>
    <hyperlink r:id="rId435" ref="N116"/>
    <hyperlink r:id="rId436" ref="O116"/>
    <hyperlink r:id="rId437" ref="R116"/>
    <hyperlink r:id="rId438" ref="N117"/>
    <hyperlink r:id="rId439" ref="O117"/>
    <hyperlink r:id="rId440" ref="E118"/>
    <hyperlink r:id="rId441" ref="N118"/>
    <hyperlink r:id="rId442" ref="O118"/>
    <hyperlink r:id="rId443" ref="R118"/>
    <hyperlink r:id="rId444" ref="E119"/>
    <hyperlink r:id="rId445" ref="N119"/>
    <hyperlink r:id="rId446" ref="O119"/>
    <hyperlink r:id="rId447" ref="R119"/>
    <hyperlink r:id="rId448" ref="E120"/>
    <hyperlink r:id="rId449" ref="N120"/>
    <hyperlink r:id="rId450" ref="O120"/>
    <hyperlink r:id="rId451" ref="R120"/>
    <hyperlink r:id="rId452" ref="E121"/>
    <hyperlink r:id="rId453" ref="N121"/>
    <hyperlink r:id="rId454" ref="O121"/>
    <hyperlink r:id="rId455" ref="R121"/>
    <hyperlink r:id="rId456" ref="E122"/>
    <hyperlink r:id="rId457" ref="N122"/>
    <hyperlink r:id="rId458" ref="O122"/>
    <hyperlink r:id="rId459" ref="R122"/>
    <hyperlink r:id="rId460" ref="E123"/>
    <hyperlink r:id="rId461" ref="N123"/>
    <hyperlink r:id="rId462" ref="O123"/>
    <hyperlink r:id="rId463" ref="R123"/>
    <hyperlink r:id="rId464" ref="E124"/>
    <hyperlink r:id="rId465" ref="N124"/>
    <hyperlink r:id="rId466" ref="O124"/>
    <hyperlink r:id="rId467" ref="R124"/>
    <hyperlink r:id="rId468" ref="E125"/>
    <hyperlink r:id="rId469" ref="N125"/>
    <hyperlink r:id="rId470" ref="O125"/>
    <hyperlink r:id="rId471" ref="R125"/>
    <hyperlink r:id="rId472" ref="E126"/>
    <hyperlink r:id="rId473" ref="N126"/>
    <hyperlink r:id="rId474" ref="O126"/>
    <hyperlink r:id="rId475" ref="R126"/>
    <hyperlink r:id="rId476" ref="E127"/>
    <hyperlink r:id="rId477" ref="N127"/>
    <hyperlink r:id="rId478" ref="O127"/>
    <hyperlink r:id="rId479" ref="R127"/>
    <hyperlink r:id="rId480" ref="E128"/>
    <hyperlink r:id="rId481" ref="N128"/>
    <hyperlink r:id="rId482" ref="O128"/>
    <hyperlink r:id="rId483" ref="R128"/>
    <hyperlink r:id="rId484" ref="E129"/>
    <hyperlink r:id="rId485" ref="N129"/>
    <hyperlink r:id="rId486" ref="O129"/>
    <hyperlink r:id="rId487" ref="R129"/>
    <hyperlink r:id="rId488" ref="E130"/>
    <hyperlink r:id="rId489" ref="N130"/>
    <hyperlink r:id="rId490" ref="O130"/>
    <hyperlink r:id="rId491" ref="R130"/>
  </hyperlinks>
  <drawing r:id="rId49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B1" s="1" t="s">
        <v>1494</v>
      </c>
      <c r="C1" s="1" t="s">
        <v>1495</v>
      </c>
      <c r="D1" s="1" t="s">
        <v>1496</v>
      </c>
      <c r="E1" s="1" t="s">
        <v>1497</v>
      </c>
      <c r="G1" s="1" t="s">
        <v>1498</v>
      </c>
    </row>
    <row r="2">
      <c r="A2" s="1" t="s">
        <v>1499</v>
      </c>
      <c r="B2" s="7">
        <v>0.03</v>
      </c>
      <c r="C2" s="7">
        <v>0.01</v>
      </c>
      <c r="D2" s="7">
        <v>0.0</v>
      </c>
      <c r="E2" s="8"/>
      <c r="G2" s="1" t="s">
        <v>1500</v>
      </c>
      <c r="H2" s="1">
        <v>5.0</v>
      </c>
    </row>
    <row r="3">
      <c r="A3" s="1" t="s">
        <v>1501</v>
      </c>
      <c r="B3" s="8">
        <f>MULTIPLY(B2*H2, H4)</f>
        <v>1.05</v>
      </c>
      <c r="C3" s="8"/>
      <c r="D3" s="8"/>
      <c r="E3" s="8"/>
      <c r="G3" s="1" t="s">
        <v>1502</v>
      </c>
      <c r="H3" s="1">
        <v>5.0</v>
      </c>
    </row>
    <row r="4">
      <c r="A4" s="1" t="s">
        <v>1503</v>
      </c>
      <c r="B4" s="8">
        <f>MULTIPLY(B2*H2, H4*H3)</f>
        <v>5.25</v>
      </c>
      <c r="C4" s="8">
        <f>MULTIPLY(C2*H2, H4*H3)</f>
        <v>1.75</v>
      </c>
      <c r="D4" s="8"/>
      <c r="E4" s="8">
        <f t="shared" ref="E4:E5" si="2">SUM(B4:D4)</f>
        <v>7</v>
      </c>
      <c r="G4" s="1" t="s">
        <v>1504</v>
      </c>
      <c r="H4" s="1">
        <v>7.0</v>
      </c>
    </row>
    <row r="5">
      <c r="A5" s="1" t="s">
        <v>1505</v>
      </c>
      <c r="B5" s="8">
        <f t="shared" ref="B5:C5" si="1">MULTIPLY(B4, 4)</f>
        <v>21</v>
      </c>
      <c r="C5" s="8">
        <f t="shared" si="1"/>
        <v>7</v>
      </c>
      <c r="D5" s="8"/>
      <c r="E5" s="8">
        <f t="shared" si="2"/>
        <v>28</v>
      </c>
    </row>
  </sheetData>
  <drawing r:id="rId1"/>
</worksheet>
</file>